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e3877d33853c1f7f/Desktop/"/>
    </mc:Choice>
  </mc:AlternateContent>
  <xr:revisionPtr revIDLastSave="0" documentId="6_{3857768B-144C-4711-9301-2FD9A3D31715}" xr6:coauthVersionLast="47" xr6:coauthVersionMax="47" xr10:uidLastSave="{00000000-0000-0000-0000-000000000000}"/>
  <bookViews>
    <workbookView xWindow="-110" yWindow="-110" windowWidth="19420" windowHeight="10300" tabRatio="877" firstSheet="3" activeTab="9" xr2:uid="{970BC812-A1EA-4C30-A183-588012FDD37D}"/>
  </bookViews>
  <sheets>
    <sheet name="Problem Statement" sheetId="20" r:id="rId1"/>
    <sheet name="Task 01 Data" sheetId="1" r:id="rId2"/>
    <sheet name="T01. Part a. DS" sheetId="18" r:id="rId3"/>
    <sheet name="T01. Part b. CI" sheetId="4" r:id="rId4"/>
    <sheet name="T01. Part c. t-test" sheetId="19" r:id="rId5"/>
    <sheet name="T01. Part c. F-test" sheetId="14" r:id="rId6"/>
    <sheet name="T01. Part d Z-test" sheetId="9" r:id="rId7"/>
    <sheet name="T01. Part e. ANOVA" sheetId="15" r:id="rId8"/>
    <sheet name="T01. Part f. TukeyKramer" sheetId="17" r:id="rId9"/>
    <sheet name="ASFData" sheetId="16"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20" i="14" l="1"/>
  <c r="B19" i="14"/>
  <c r="B18" i="14"/>
  <c r="E17" i="14"/>
  <c r="B15" i="14"/>
  <c r="B14" i="14"/>
  <c r="B13" i="14"/>
  <c r="B11" i="17"/>
  <c r="C6" i="17"/>
  <c r="I4" i="17"/>
  <c r="B16" i="15"/>
  <c r="C13" i="15"/>
  <c r="E8" i="15"/>
  <c r="D8" i="15"/>
  <c r="B8" i="17" s="1"/>
  <c r="C8" i="15"/>
  <c r="B8" i="15"/>
  <c r="C8" i="17" s="1"/>
  <c r="E7" i="15"/>
  <c r="D7" i="15"/>
  <c r="B7" i="17" s="1"/>
  <c r="C7" i="15"/>
  <c r="B7" i="15"/>
  <c r="C7" i="17" s="1"/>
  <c r="E6" i="15"/>
  <c r="D6" i="15"/>
  <c r="B6" i="17" s="1"/>
  <c r="C6" i="15"/>
  <c r="B6" i="15"/>
  <c r="E5" i="15"/>
  <c r="D5" i="15"/>
  <c r="B5" i="17" s="1"/>
  <c r="C5" i="15"/>
  <c r="B5" i="15"/>
  <c r="C5" i="17" s="1"/>
  <c r="J3" i="15"/>
  <c r="C14" i="15" s="1"/>
  <c r="B13" i="17" s="1"/>
  <c r="J2" i="15"/>
  <c r="A24" i="9"/>
  <c r="B23" i="9"/>
  <c r="B22" i="9"/>
  <c r="B21" i="9"/>
  <c r="B18" i="9"/>
  <c r="B17" i="9"/>
  <c r="E16" i="9"/>
  <c r="B16" i="9"/>
  <c r="E15" i="9"/>
  <c r="B15" i="9"/>
  <c r="B14" i="9"/>
  <c r="E12" i="9"/>
  <c r="E11" i="9"/>
  <c r="E10" i="9"/>
  <c r="B17" i="4"/>
  <c r="B16" i="4"/>
  <c r="B13" i="4"/>
  <c r="B12" i="4"/>
  <c r="B11" i="4"/>
  <c r="B10" i="4"/>
  <c r="L5" i="1"/>
  <c r="L4" i="1"/>
  <c r="M3" i="1"/>
  <c r="L3" i="1"/>
  <c r="M2" i="1"/>
  <c r="L2" i="1"/>
  <c r="G13" i="15" l="1"/>
  <c r="F7" i="17"/>
  <c r="B13" i="15"/>
  <c r="D13" i="15" s="1"/>
  <c r="C16" i="15"/>
  <c r="F6" i="17"/>
  <c r="F8" i="17"/>
  <c r="F10" i="17"/>
  <c r="F5" i="17"/>
  <c r="F9" i="17"/>
  <c r="E13" i="15" l="1"/>
  <c r="F13" i="15" s="1"/>
  <c r="B14" i="15"/>
  <c r="D14" i="15" s="1"/>
  <c r="B14" i="17" s="1"/>
  <c r="G10" i="17" l="1"/>
  <c r="H10" i="17" s="1"/>
  <c r="I10" i="17" s="1"/>
  <c r="G7" i="17"/>
  <c r="H7" i="17" s="1"/>
  <c r="I7" i="17" s="1"/>
  <c r="G9" i="17"/>
  <c r="H9" i="17" s="1"/>
  <c r="I9" i="17" s="1"/>
  <c r="G8" i="17"/>
  <c r="H8" i="17" s="1"/>
  <c r="I8" i="17" s="1"/>
  <c r="G5" i="17"/>
  <c r="H5" i="17" s="1"/>
  <c r="I5" i="17" s="1"/>
  <c r="G6" i="17"/>
  <c r="H6" i="17" s="1"/>
  <c r="I6" i="17" s="1"/>
</calcChain>
</file>

<file path=xl/sharedStrings.xml><?xml version="1.0" encoding="utf-8"?>
<sst xmlns="http://schemas.openxmlformats.org/spreadsheetml/2006/main" count="371" uniqueCount="159">
  <si>
    <t>female</t>
  </si>
  <si>
    <t>yes</t>
  </si>
  <si>
    <t>southwest</t>
  </si>
  <si>
    <t>male</t>
  </si>
  <si>
    <t>no</t>
  </si>
  <si>
    <t>southeast</t>
  </si>
  <si>
    <t>northwest</t>
  </si>
  <si>
    <t>northeast</t>
  </si>
  <si>
    <t>Age</t>
  </si>
  <si>
    <t>Sex</t>
  </si>
  <si>
    <t>BMI</t>
  </si>
  <si>
    <t>Children</t>
  </si>
  <si>
    <t>Smoker</t>
  </si>
  <si>
    <t>Region</t>
  </si>
  <si>
    <t>Mean</t>
  </si>
  <si>
    <t>Median</t>
  </si>
  <si>
    <t>Mode</t>
  </si>
  <si>
    <t>Minimum</t>
  </si>
  <si>
    <t>Maximum</t>
  </si>
  <si>
    <t>Range</t>
  </si>
  <si>
    <t>Variance</t>
  </si>
  <si>
    <t>Standard Deviation</t>
  </si>
  <si>
    <t>Skewness</t>
  </si>
  <si>
    <t>Kurtosis</t>
  </si>
  <si>
    <t>Count</t>
  </si>
  <si>
    <t>Standard Error</t>
  </si>
  <si>
    <t>Data</t>
  </si>
  <si>
    <t>Sample Standard Deviation</t>
  </si>
  <si>
    <t>Sample Mean</t>
  </si>
  <si>
    <t>Sample Size</t>
  </si>
  <si>
    <t>Confidence Level</t>
  </si>
  <si>
    <t>Intermediate Calculations</t>
  </si>
  <si>
    <t>Standard Error of the Mean</t>
  </si>
  <si>
    <t>Degrees of Freedom</t>
  </si>
  <si>
    <r>
      <t>t</t>
    </r>
    <r>
      <rPr>
        <sz val="11"/>
        <rFont val="Calibri"/>
        <family val="2"/>
      </rPr>
      <t xml:space="preserve"> Value</t>
    </r>
  </si>
  <si>
    <t>Interval Half Width</t>
  </si>
  <si>
    <t>Confidence Interval</t>
  </si>
  <si>
    <t>Interval Lower Limit</t>
  </si>
  <si>
    <t>Interval Upper Limit</t>
  </si>
  <si>
    <t>Male</t>
  </si>
  <si>
    <t>Female</t>
  </si>
  <si>
    <t>Level of Significance</t>
  </si>
  <si>
    <t>Larger-Variance Sample</t>
  </si>
  <si>
    <t>Sample Variance</t>
  </si>
  <si>
    <t>Smaller-Variance Sample</t>
  </si>
  <si>
    <r>
      <t xml:space="preserve">F </t>
    </r>
    <r>
      <rPr>
        <b/>
        <sz val="11"/>
        <rFont val="Calibri"/>
        <family val="2"/>
      </rPr>
      <t>Test Statistic</t>
    </r>
  </si>
  <si>
    <t>Population 1 Sample Degrees of Freedom</t>
  </si>
  <si>
    <t>Population 2 Sample Degrees of Freedom</t>
  </si>
  <si>
    <t>Calculations Area</t>
  </si>
  <si>
    <t>Two-Tail Test</t>
  </si>
  <si>
    <t>F.DIST.RT value</t>
  </si>
  <si>
    <t>Upper Critical Value</t>
  </si>
  <si>
    <r>
      <t>p</t>
    </r>
    <r>
      <rPr>
        <b/>
        <sz val="11"/>
        <rFont val="Calibri"/>
        <family val="2"/>
      </rPr>
      <t>-Value</t>
    </r>
  </si>
  <si>
    <t>Hypothesized Difference</t>
  </si>
  <si>
    <t>Lower Critical Value</t>
  </si>
  <si>
    <t xml:space="preserve">Confidence Interval Estimate </t>
  </si>
  <si>
    <t>of the Difference Between Two Proportions</t>
  </si>
  <si>
    <t>Group 1</t>
  </si>
  <si>
    <t>Number of Items of Interest</t>
  </si>
  <si>
    <t>Group 2</t>
  </si>
  <si>
    <r>
      <t>Z</t>
    </r>
    <r>
      <rPr>
        <sz val="11"/>
        <rFont val="Calibri"/>
        <family val="2"/>
      </rPr>
      <t xml:space="preserve"> Value</t>
    </r>
  </si>
  <si>
    <t>Std. Error of the Diff. between two Proportions</t>
  </si>
  <si>
    <t>Group 1 Proportion</t>
  </si>
  <si>
    <t>Group 2 Proportion</t>
  </si>
  <si>
    <t>Difference in Two Proportions</t>
  </si>
  <si>
    <t>Average Proportion</t>
  </si>
  <si>
    <r>
      <rPr>
        <b/>
        <i/>
        <sz val="11"/>
        <rFont val="Calibri"/>
        <family val="2"/>
      </rPr>
      <t>Z</t>
    </r>
    <r>
      <rPr>
        <b/>
        <sz val="11"/>
        <rFont val="Calibri"/>
        <family val="2"/>
      </rPr>
      <t xml:space="preserve"> Test Statistic</t>
    </r>
  </si>
  <si>
    <t>F Test for Differences in Two Variances</t>
  </si>
  <si>
    <t>SW</t>
  </si>
  <si>
    <t>SE</t>
  </si>
  <si>
    <t>NW</t>
  </si>
  <si>
    <t>NE</t>
  </si>
  <si>
    <t>Calculations</t>
  </si>
  <si>
    <t>c</t>
  </si>
  <si>
    <t>SUMMARY</t>
  </si>
  <si>
    <t>n</t>
  </si>
  <si>
    <t>Groups</t>
  </si>
  <si>
    <t>Sum</t>
  </si>
  <si>
    <t>Average</t>
  </si>
  <si>
    <t>ANOVA</t>
  </si>
  <si>
    <t>Source of Variation</t>
  </si>
  <si>
    <t>SS</t>
  </si>
  <si>
    <t>df</t>
  </si>
  <si>
    <t>MS</t>
  </si>
  <si>
    <t>F</t>
  </si>
  <si>
    <t>P-value</t>
  </si>
  <si>
    <t>F crit</t>
  </si>
  <si>
    <t>Between Groups</t>
  </si>
  <si>
    <t>Within Groups</t>
  </si>
  <si>
    <t>Total</t>
  </si>
  <si>
    <t>Level of significance</t>
  </si>
  <si>
    <t>ANOVA: Single Factor</t>
  </si>
  <si>
    <t>Tukey-Kramer Multiple Comparisons</t>
  </si>
  <si>
    <t>Sample</t>
  </si>
  <si>
    <t>Absolute</t>
  </si>
  <si>
    <t>Std. Error</t>
  </si>
  <si>
    <t>Critical</t>
  </si>
  <si>
    <t>Group</t>
  </si>
  <si>
    <t>Size</t>
  </si>
  <si>
    <t>Comparison</t>
  </si>
  <si>
    <t>Difference</t>
  </si>
  <si>
    <t>of Difference</t>
  </si>
  <si>
    <t>Other Data</t>
  </si>
  <si>
    <t>Numerator d.f.</t>
  </si>
  <si>
    <t>Denominator d.f.</t>
  </si>
  <si>
    <t>MSW</t>
  </si>
  <si>
    <t>Q Statistic</t>
  </si>
  <si>
    <t>1: SW</t>
  </si>
  <si>
    <t>Group 1 to Group 2</t>
  </si>
  <si>
    <t>Group 1 to Group 3</t>
  </si>
  <si>
    <t>Group 1 to Group 4</t>
  </si>
  <si>
    <t>2: SE</t>
  </si>
  <si>
    <t>Group 2 to Group 3</t>
  </si>
  <si>
    <t>Group 2 to Group 4</t>
  </si>
  <si>
    <t>3: NW</t>
  </si>
  <si>
    <t>Group 3 to Group 4</t>
  </si>
  <si>
    <t>4: NE</t>
  </si>
  <si>
    <t>Confidence Level(95.0%)</t>
  </si>
  <si>
    <t>Descriptive Statistics</t>
  </si>
  <si>
    <t>Var Male</t>
  </si>
  <si>
    <t>Var Female</t>
  </si>
  <si>
    <t>Two-Sample Test for Equality of Proportions</t>
  </si>
  <si>
    <t>Z-test</t>
  </si>
  <si>
    <t>t-Test: Two-Sample Assuming Unequal Variances</t>
  </si>
  <si>
    <t>Observations</t>
  </si>
  <si>
    <t>Hypothesized Mean Difference</t>
  </si>
  <si>
    <t>t Stat</t>
  </si>
  <si>
    <t>P(T&lt;=t) one-tail</t>
  </si>
  <si>
    <t>t Critical one-tail</t>
  </si>
  <si>
    <t>P(T&lt;=t) two-tail</t>
  </si>
  <si>
    <t>t Critical two-tail</t>
  </si>
  <si>
    <t>This study looks at 55 people in the U.S. to understand why health insurance costs vary. We want to see if a person’s gender or where they live (Southwest, Southeast, Northwest, or Northeast) changes how much they pay. We are also checking if there are more smokers in one gender than the other. The results will help insurance companies set fairer prices and create better plans for different regions.</t>
  </si>
  <si>
    <t>Problem statement</t>
  </si>
  <si>
    <r>
      <t>Q1 (Part a — Descriptive Statistics):</t>
    </r>
    <r>
      <rPr>
        <sz val="11"/>
        <color theme="1"/>
        <rFont val="Aptos Narrow"/>
        <family val="2"/>
        <scheme val="minor"/>
      </rPr>
      <t xml:space="preserve"> What is the overall distribution of insurance charges (USD) among the sampled policyholders, and what are the key descriptive measures such as mean, median, standard deviation, and skewness?</t>
    </r>
  </si>
  <si>
    <r>
      <t>Q2 (Part b — Confidence Interval):</t>
    </r>
    <r>
      <rPr>
        <sz val="11"/>
        <color theme="1"/>
        <rFont val="Aptos Narrow"/>
        <family val="2"/>
        <scheme val="minor"/>
      </rPr>
      <t xml:space="preserve"> What is the 95% confidence interval for the true population mean of insurance charges (USD) based on the given sample?</t>
    </r>
  </si>
  <si>
    <r>
      <t>Q4 (Part d — Z-test):</t>
    </r>
    <r>
      <rPr>
        <sz val="11"/>
        <color theme="1"/>
        <rFont val="Aptos Narrow"/>
        <family val="2"/>
        <scheme val="minor"/>
      </rPr>
      <t xml:space="preserve"> Is there a significant difference in the proportion of smokers between male and female policyholders at 5% level of significance?</t>
    </r>
  </si>
  <si>
    <r>
      <t>Q5 (Part e — ANOVA):</t>
    </r>
    <r>
      <rPr>
        <sz val="11"/>
        <color theme="1"/>
        <rFont val="Aptos Narrow"/>
        <family val="2"/>
        <scheme val="minor"/>
      </rPr>
      <t xml:space="preserve"> Is there a significant difference in the mean insurance charges across the four geographic regions (Southwest, Southeast, Northwest, Northeast) at 5% level of significance?</t>
    </r>
  </si>
  <si>
    <r>
      <t>Q3 (Part c — F-test and t-test):</t>
    </r>
    <r>
      <rPr>
        <sz val="11"/>
        <color theme="1"/>
        <rFont val="Aptos Narrow"/>
        <family val="2"/>
        <scheme val="minor"/>
      </rPr>
      <t xml:space="preserve"> Is there a significant difference in the variance of insurance charges between male and female policyholders at 5% level of significance?</t>
    </r>
    <r>
      <rPr>
        <b/>
        <sz val="11"/>
        <color theme="1"/>
        <rFont val="Aptos Narrow"/>
        <family val="2"/>
        <scheme val="minor"/>
      </rPr>
      <t xml:space="preserve"> </t>
    </r>
    <r>
      <rPr>
        <sz val="11"/>
        <color theme="1"/>
        <rFont val="Aptos Narrow"/>
        <family val="2"/>
        <scheme val="minor"/>
      </rPr>
      <t>And Is there a significant difference in the mean insurance charges between male and female policyholders at 5% level of significance?</t>
    </r>
  </si>
  <si>
    <r>
      <t>Q6 (Part f — Tukey-Kramer):</t>
    </r>
    <r>
      <rPr>
        <sz val="11"/>
        <color theme="1"/>
        <rFont val="Aptos Narrow"/>
        <family val="2"/>
        <scheme val="minor"/>
      </rPr>
      <t xml:space="preserve"> If regional differences exist, which specific pairs of regions differ significantly in their mean insurance charges?</t>
    </r>
  </si>
  <si>
    <t>Interpretation</t>
  </si>
  <si>
    <t>Hypothesis</t>
  </si>
  <si>
    <t>H₁: Mean insurance charges of Males ≠ Mean insurance charges of Females</t>
  </si>
  <si>
    <r>
      <rPr>
        <sz val="11"/>
        <color theme="1"/>
        <rFont val="Aptos Narrow"/>
        <family val="2"/>
        <scheme val="minor"/>
      </rPr>
      <t>H₀</t>
    </r>
    <r>
      <rPr>
        <b/>
        <sz val="11"/>
        <color theme="1"/>
        <rFont val="Aptos Narrow"/>
        <family val="2"/>
        <scheme val="minor"/>
      </rPr>
      <t>:</t>
    </r>
    <r>
      <rPr>
        <sz val="11"/>
        <color theme="1"/>
        <rFont val="Aptos Narrow"/>
        <family val="2"/>
        <scheme val="minor"/>
      </rPr>
      <t xml:space="preserve"> Mean insurance charges of Males = Mean insurance charges of Females </t>
    </r>
  </si>
  <si>
    <t>Decision</t>
  </si>
  <si>
    <t>Decision;</t>
  </si>
  <si>
    <t>We fail to reject the null hypothesis because p-value (0.0865) is greater than the significance level (0.05) and there is no statistically significant difference in mean insurance charges between male and female policyholders at 5% significance level.</t>
  </si>
  <si>
    <r>
      <t>H₀:</t>
    </r>
    <r>
      <rPr>
        <sz val="11"/>
        <color theme="1"/>
        <rFont val="Aptos Narrow"/>
        <family val="2"/>
        <scheme val="minor"/>
      </rPr>
      <t xml:space="preserve"> Variance of Male charges = Variance of Female charges</t>
    </r>
  </si>
  <si>
    <r>
      <t>H₁:</t>
    </r>
    <r>
      <rPr>
        <sz val="11"/>
        <color theme="1"/>
        <rFont val="Aptos Narrow"/>
        <family val="2"/>
        <scheme val="minor"/>
      </rPr>
      <t xml:space="preserve"> Variance of Male charges ≠ Variance of Female charges</t>
    </r>
  </si>
  <si>
    <t>We reject the null hypothesis because p-value (0.00162) is less than the significance level (0.05) and there is a statistically significant difference in the variance of insurance charges between male and female policyholders at 5% significance level. F-stat (3.6547) &gt; F-crit (2.1992) So rejct</t>
  </si>
  <si>
    <t>H₀: Proportion of Male smokers = Proportion of Female smokers</t>
  </si>
  <si>
    <t>H₁: Proportion of Male smokers ≠ Proportion of Female smokers</t>
  </si>
  <si>
    <t>Ddecision</t>
  </si>
  <si>
    <t>We reject the null hypothesis because p-value (0.0455) is less than the significance level (0.05) and there is a statistically significant difference in the proportion of smokers between male and female policyholders at 5% significance level.</t>
  </si>
  <si>
    <t xml:space="preserve">H₀: </t>
  </si>
  <si>
    <t>We fail to reject the null hypothesis because F-stats (1.5689) is less than the critical value (2.7862). There is no statistically significant difference in mean insurance charges across the four US regions at 5% significance level.</t>
  </si>
  <si>
    <t>H₁: At least one region's mean insurance charges is different</t>
  </si>
  <si>
    <t>We fail to reject the null hypothesis for all six pairwise comparisons. No pair of regions shows a statistically significant difference in mean insurance charges at 5% significance level.</t>
  </si>
  <si>
    <t>Charges ($)</t>
  </si>
  <si>
    <r>
      <rPr>
        <sz val="11"/>
        <color theme="1"/>
        <rFont val="Aptos Narrow"/>
        <family val="2"/>
        <scheme val="minor"/>
      </rPr>
      <t>We are 95% confident that the true population mean of insurance charges lies between $10,341.32 and $17,997.44.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</si>
</sst>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000"/>
    <numFmt numFmtId="165" formatCode="#,##0.0000"/>
  </numFmts>
  <fonts count="21" x14ac:knownFonts="1">
    <font>
      <sz val="11"/>
      <color theme="1"/>
      <name val="Aptos Narrow"/>
      <family val="2"/>
      <scheme val="minor"/>
    </font>
    <font>
      <b/>
      <sz val="11"/>
      <color theme="1"/>
      <name val="Aptos Narrow"/>
      <family val="2"/>
      <scheme val="minor"/>
    </font>
    <font>
      <b/>
      <sz val="11"/>
      <color rgb="FFFFFFFF"/>
      <name val="Arial"/>
      <family val="2"/>
    </font>
    <font>
      <b/>
      <sz val="11"/>
      <name val="Aptos Narrow"/>
      <family val="2"/>
      <scheme val="minor"/>
    </font>
    <font>
      <sz val="10"/>
      <name val="Arial"/>
      <family val="2"/>
    </font>
    <font>
      <sz val="11"/>
      <name val="Aptos Narrow"/>
      <family val="2"/>
      <scheme val="minor"/>
    </font>
    <font>
      <i/>
      <sz val="11"/>
      <name val="Aptos Narrow"/>
      <family val="2"/>
      <scheme val="minor"/>
    </font>
    <font>
      <sz val="11"/>
      <name val="Calibri"/>
      <family val="2"/>
    </font>
    <font>
      <b/>
      <sz val="11"/>
      <color theme="0"/>
      <name val="Aptos Narrow"/>
      <family val="2"/>
      <scheme val="minor"/>
    </font>
    <font>
      <b/>
      <sz val="11"/>
      <name val="Calibri"/>
      <family val="2"/>
    </font>
    <font>
      <b/>
      <i/>
      <sz val="11"/>
      <name val="Calibri"/>
      <family val="2"/>
    </font>
    <font>
      <i/>
      <sz val="11"/>
      <name val="Calibri"/>
      <family val="2"/>
    </font>
    <font>
      <b/>
      <sz val="11"/>
      <color indexed="8"/>
      <name val="Calibri"/>
      <family val="2"/>
    </font>
    <font>
      <i/>
      <sz val="11"/>
      <color theme="1"/>
      <name val="Aptos Narrow"/>
      <family val="2"/>
      <scheme val="minor"/>
    </font>
    <font>
      <b/>
      <i/>
      <sz val="11"/>
      <color theme="1"/>
      <name val="Aptos Narrow"/>
      <family val="2"/>
      <scheme val="minor"/>
    </font>
    <font>
      <b/>
      <sz val="12"/>
      <color theme="0"/>
      <name val="Aptos Narrow"/>
      <family val="2"/>
      <scheme val="minor"/>
    </font>
    <font>
      <b/>
      <sz val="12"/>
      <name val="Aptos Narrow"/>
      <family val="2"/>
      <scheme val="minor"/>
    </font>
    <font>
      <b/>
      <sz val="12"/>
      <name val="Calibri"/>
      <family val="2"/>
    </font>
    <font>
      <b/>
      <sz val="12"/>
      <color theme="1"/>
      <name val="Aptos Narrow"/>
      <family val="2"/>
      <scheme val="minor"/>
    </font>
    <font>
      <sz val="12"/>
      <color theme="1"/>
      <name val="Arial"/>
      <family val="2"/>
    </font>
    <font>
      <sz val="11"/>
      <color theme="1"/>
      <name val="Aptos Narrow"/>
      <family val="2"/>
      <scheme val="minor"/>
    </font>
  </fonts>
  <fills count="10">
    <fill>
      <patternFill patternType="none"/>
    </fill>
    <fill>
      <patternFill patternType="gray125"/>
    </fill>
    <fill>
      <patternFill patternType="solid">
        <fgColor theme="4" tint="0.79998168889431442"/>
        <bgColor theme="4" tint="0.79998168889431442"/>
      </patternFill>
    </fill>
    <fill>
      <patternFill patternType="solid">
        <fgColor rgb="FF1F4E79"/>
        <bgColor rgb="FF003366"/>
      </patternFill>
    </fill>
    <fill>
      <patternFill patternType="solid">
        <fgColor indexed="41"/>
        <bgColor indexed="64"/>
      </patternFill>
    </fill>
    <fill>
      <patternFill patternType="solid">
        <fgColor indexed="43"/>
        <bgColor indexed="64"/>
      </patternFill>
    </fill>
    <fill>
      <patternFill patternType="solid">
        <fgColor rgb="FFFFFF00"/>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bgColor indexed="64"/>
      </patternFill>
    </fill>
  </fills>
  <borders count="30">
    <border>
      <left/>
      <right/>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BDD7EE"/>
      </left>
      <right/>
      <top style="thin">
        <color rgb="FFBDD7EE"/>
      </top>
      <bottom/>
      <diagonal/>
    </border>
    <border>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BDD7EE"/>
      </left>
      <right style="thin">
        <color theme="4" tint="0.39997558519241921"/>
      </right>
      <top style="thin">
        <color rgb="FFBDD7EE"/>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4">
    <xf numFmtId="0" fontId="0" fillId="0" borderId="0"/>
    <xf numFmtId="0" fontId="4" fillId="0" borderId="0"/>
    <xf numFmtId="9" fontId="4" fillId="0" borderId="0" applyFont="0" applyFill="0" applyBorder="0" applyAlignment="0" applyProtection="0"/>
    <xf numFmtId="44" fontId="20" fillId="0" borderId="0" applyFont="0" applyFill="0" applyBorder="0" applyAlignment="0" applyProtection="0"/>
  </cellStyleXfs>
  <cellXfs count="140">
    <xf numFmtId="0" fontId="0" fillId="0" borderId="0" xfId="0"/>
    <xf numFmtId="0" fontId="1" fillId="0" borderId="0" xfId="0" applyFont="1"/>
    <xf numFmtId="0" fontId="5" fillId="0" borderId="0" xfId="1" applyFont="1" applyAlignment="1">
      <alignment horizontal="centerContinuous"/>
    </xf>
    <xf numFmtId="0" fontId="5" fillId="0" borderId="0" xfId="1" applyFont="1"/>
    <xf numFmtId="0" fontId="3" fillId="0" borderId="0" xfId="1" applyFont="1" applyAlignment="1">
      <alignment horizontal="centerContinuous"/>
    </xf>
    <xf numFmtId="0" fontId="3" fillId="4" borderId="2" xfId="1" applyFont="1" applyFill="1" applyBorder="1" applyAlignment="1">
      <alignment horizontal="centerContinuous"/>
    </xf>
    <xf numFmtId="0" fontId="5" fillId="4" borderId="3" xfId="1" applyFont="1" applyFill="1" applyBorder="1" applyAlignment="1">
      <alignment horizontal="centerContinuous"/>
    </xf>
    <xf numFmtId="0" fontId="3" fillId="4" borderId="4" xfId="1" applyFont="1" applyFill="1" applyBorder="1"/>
    <xf numFmtId="0" fontId="3" fillId="4" borderId="4" xfId="1" applyFont="1" applyFill="1" applyBorder="1" applyProtection="1">
      <protection locked="0"/>
    </xf>
    <xf numFmtId="9" fontId="3" fillId="4" borderId="4" xfId="2" applyFont="1" applyFill="1" applyBorder="1" applyProtection="1">
      <protection locked="0"/>
    </xf>
    <xf numFmtId="0" fontId="3" fillId="0" borderId="0" xfId="1" applyFont="1"/>
    <xf numFmtId="9" fontId="3" fillId="0" borderId="0" xfId="2" applyFont="1" applyFill="1" applyBorder="1" applyProtection="1">
      <protection locked="0"/>
    </xf>
    <xf numFmtId="0" fontId="5" fillId="0" borderId="4" xfId="1" applyFont="1" applyBorder="1"/>
    <xf numFmtId="0" fontId="6" fillId="0" borderId="4" xfId="1" applyFont="1" applyBorder="1"/>
    <xf numFmtId="164" fontId="5" fillId="0" borderId="4" xfId="1" applyNumberFormat="1" applyFont="1" applyBorder="1"/>
    <xf numFmtId="0" fontId="5" fillId="0" borderId="5" xfId="1" applyFont="1" applyBorder="1"/>
    <xf numFmtId="0" fontId="3" fillId="5" borderId="4" xfId="1" applyFont="1" applyFill="1" applyBorder="1"/>
    <xf numFmtId="2" fontId="3" fillId="5" borderId="4" xfId="1" applyNumberFormat="1" applyFont="1" applyFill="1" applyBorder="1"/>
    <xf numFmtId="0" fontId="2" fillId="3" borderId="8" xfId="0" applyFont="1" applyFill="1" applyBorder="1" applyAlignment="1">
      <alignment horizontal="center" vertical="center" wrapText="1"/>
    </xf>
    <xf numFmtId="0" fontId="7" fillId="0" borderId="0" xfId="1" applyFont="1" applyAlignment="1">
      <alignment horizontal="centerContinuous"/>
    </xf>
    <xf numFmtId="0" fontId="7" fillId="0" borderId="0" xfId="1" applyFont="1"/>
    <xf numFmtId="0" fontId="9" fillId="0" borderId="0" xfId="1" applyFont="1" applyAlignment="1">
      <alignment horizontal="centerContinuous"/>
    </xf>
    <xf numFmtId="0" fontId="9" fillId="4" borderId="4" xfId="1" applyFont="1" applyFill="1" applyBorder="1"/>
    <xf numFmtId="0" fontId="9" fillId="4" borderId="4" xfId="1" applyFont="1" applyFill="1" applyBorder="1" applyAlignment="1">
      <alignment horizontal="centerContinuous"/>
    </xf>
    <xf numFmtId="0" fontId="9" fillId="0" borderId="0" xfId="1" applyFont="1" applyAlignment="1">
      <alignment horizontal="center"/>
    </xf>
    <xf numFmtId="0" fontId="9" fillId="0" borderId="0" xfId="1" applyFont="1"/>
    <xf numFmtId="0" fontId="10" fillId="5" borderId="4" xfId="1" applyFont="1" applyFill="1" applyBorder="1"/>
    <xf numFmtId="164" fontId="9" fillId="5" borderId="4" xfId="1" applyNumberFormat="1" applyFont="1" applyFill="1" applyBorder="1"/>
    <xf numFmtId="0" fontId="7" fillId="0" borderId="4" xfId="1" applyFont="1" applyBorder="1"/>
    <xf numFmtId="0" fontId="7" fillId="0" borderId="9" xfId="1" applyFont="1" applyBorder="1"/>
    <xf numFmtId="0" fontId="7" fillId="0" borderId="1" xfId="1" applyFont="1" applyBorder="1" applyAlignment="1">
      <alignment horizontal="centerContinuous"/>
    </xf>
    <xf numFmtId="0" fontId="9" fillId="5" borderId="4" xfId="1" applyFont="1" applyFill="1" applyBorder="1" applyAlignment="1">
      <alignment horizontal="centerContinuous"/>
    </xf>
    <xf numFmtId="0" fontId="7" fillId="0" borderId="0" xfId="1" applyFont="1" applyAlignment="1">
      <alignment horizontal="left"/>
    </xf>
    <xf numFmtId="164" fontId="7" fillId="0" borderId="0" xfId="1" applyNumberFormat="1" applyFont="1"/>
    <xf numFmtId="0" fontId="9" fillId="5" borderId="4" xfId="1" applyFont="1" applyFill="1" applyBorder="1"/>
    <xf numFmtId="164" fontId="7" fillId="0" borderId="4" xfId="1" applyNumberFormat="1" applyFont="1" applyBorder="1"/>
    <xf numFmtId="164" fontId="9" fillId="0" borderId="0" xfId="1" applyNumberFormat="1" applyFont="1"/>
    <xf numFmtId="0" fontId="7" fillId="0" borderId="12" xfId="1" applyFont="1" applyBorder="1"/>
    <xf numFmtId="0" fontId="7" fillId="0" borderId="13" xfId="1" applyFont="1" applyBorder="1"/>
    <xf numFmtId="0" fontId="9" fillId="4" borderId="14" xfId="1" applyFont="1" applyFill="1" applyBorder="1" applyAlignment="1">
      <alignment horizontal="left"/>
    </xf>
    <xf numFmtId="9" fontId="9" fillId="4" borderId="15" xfId="1" applyNumberFormat="1" applyFont="1" applyFill="1" applyBorder="1"/>
    <xf numFmtId="0" fontId="11" fillId="0" borderId="14" xfId="1" applyFont="1" applyBorder="1"/>
    <xf numFmtId="165" fontId="7" fillId="0" borderId="15" xfId="1" applyNumberFormat="1" applyFont="1" applyBorder="1"/>
    <xf numFmtId="0" fontId="7" fillId="0" borderId="14" xfId="1" applyFont="1" applyBorder="1"/>
    <xf numFmtId="0" fontId="9" fillId="5" borderId="14" xfId="1" applyFont="1" applyFill="1" applyBorder="1"/>
    <xf numFmtId="165" fontId="9" fillId="5" borderId="15" xfId="1" applyNumberFormat="1" applyFont="1" applyFill="1" applyBorder="1"/>
    <xf numFmtId="0" fontId="9" fillId="5" borderId="16" xfId="1" applyFont="1" applyFill="1" applyBorder="1"/>
    <xf numFmtId="165" fontId="9" fillId="5" borderId="17" xfId="1" applyNumberFormat="1" applyFont="1" applyFill="1" applyBorder="1"/>
    <xf numFmtId="165" fontId="9" fillId="5" borderId="4" xfId="1" applyNumberFormat="1" applyFont="1" applyFill="1" applyBorder="1"/>
    <xf numFmtId="0" fontId="2" fillId="3" borderId="18" xfId="0" applyFont="1" applyFill="1" applyBorder="1" applyAlignment="1">
      <alignment horizontal="center" vertical="center" wrapText="1"/>
    </xf>
    <xf numFmtId="0" fontId="11" fillId="0" borderId="19" xfId="1" applyFont="1" applyBorder="1"/>
    <xf numFmtId="0" fontId="7" fillId="0" borderId="20" xfId="1" applyFont="1" applyBorder="1"/>
    <xf numFmtId="0" fontId="12" fillId="0" borderId="0" xfId="1" applyFont="1"/>
    <xf numFmtId="0" fontId="11" fillId="0" borderId="21" xfId="1" applyFont="1" applyBorder="1"/>
    <xf numFmtId="0" fontId="7" fillId="0" borderId="22" xfId="1" applyFont="1" applyBorder="1"/>
    <xf numFmtId="0" fontId="10" fillId="0" borderId="23" xfId="1" applyFont="1" applyBorder="1" applyAlignment="1">
      <alignment horizontal="center"/>
    </xf>
    <xf numFmtId="0" fontId="9" fillId="0" borderId="24" xfId="1" applyFont="1" applyBorder="1"/>
    <xf numFmtId="164" fontId="9" fillId="0" borderId="24" xfId="1" applyNumberFormat="1" applyFont="1" applyBorder="1"/>
    <xf numFmtId="0" fontId="9" fillId="0" borderId="7" xfId="1" applyFont="1" applyBorder="1"/>
    <xf numFmtId="0" fontId="0" fillId="0" borderId="0" xfId="0" applyAlignment="1">
      <alignment horizontal="center"/>
    </xf>
    <xf numFmtId="0" fontId="0" fillId="0" borderId="4" xfId="0" applyBorder="1" applyAlignment="1">
      <alignment horizontal="center"/>
    </xf>
    <xf numFmtId="0" fontId="0" fillId="0" borderId="4" xfId="0" applyBorder="1"/>
    <xf numFmtId="0" fontId="0" fillId="4" borderId="4" xfId="0" applyFill="1" applyBorder="1" applyProtection="1">
      <protection locked="0"/>
    </xf>
    <xf numFmtId="0" fontId="1" fillId="0" borderId="0" xfId="0" applyFont="1" applyAlignment="1">
      <alignment horizontal="center"/>
    </xf>
    <xf numFmtId="0" fontId="0" fillId="0" borderId="24" xfId="0" applyBorder="1"/>
    <xf numFmtId="0" fontId="13" fillId="0" borderId="23" xfId="0" applyFont="1" applyBorder="1" applyAlignment="1">
      <alignment horizontal="centerContinuous"/>
    </xf>
    <xf numFmtId="0" fontId="8" fillId="0" borderId="0" xfId="0" applyFont="1"/>
    <xf numFmtId="0" fontId="2" fillId="3" borderId="4" xfId="0" applyFont="1" applyFill="1" applyBorder="1" applyAlignment="1">
      <alignment horizontal="center" vertical="center" wrapText="1"/>
    </xf>
    <xf numFmtId="0" fontId="0" fillId="2" borderId="4" xfId="0" applyFill="1" applyBorder="1" applyAlignment="1">
      <alignment horizontal="center"/>
    </xf>
    <xf numFmtId="0" fontId="15" fillId="7" borderId="4" xfId="0" applyFont="1" applyFill="1" applyBorder="1" applyAlignment="1">
      <alignment horizontal="center"/>
    </xf>
    <xf numFmtId="0" fontId="0" fillId="8" borderId="4" xfId="0" applyFill="1" applyBorder="1" applyAlignment="1">
      <alignment horizontal="center"/>
    </xf>
    <xf numFmtId="0" fontId="15" fillId="9" borderId="4" xfId="0" applyFont="1" applyFill="1" applyBorder="1"/>
    <xf numFmtId="0" fontId="15" fillId="9" borderId="6" xfId="0" applyFont="1" applyFill="1" applyBorder="1"/>
    <xf numFmtId="0" fontId="0" fillId="0" borderId="28" xfId="0" applyBorder="1"/>
    <xf numFmtId="0" fontId="15" fillId="9" borderId="4" xfId="0" applyFont="1" applyFill="1" applyBorder="1" applyAlignment="1">
      <alignment horizontal="center"/>
    </xf>
    <xf numFmtId="0" fontId="16" fillId="6" borderId="4" xfId="1" applyFont="1" applyFill="1" applyBorder="1" applyAlignment="1">
      <alignment horizontal="left"/>
    </xf>
    <xf numFmtId="0" fontId="9" fillId="0" borderId="4" xfId="1" applyFont="1" applyBorder="1" applyAlignment="1">
      <alignment horizontal="center"/>
    </xf>
    <xf numFmtId="0" fontId="13" fillId="0" borderId="1" xfId="0" applyFont="1" applyBorder="1" applyAlignment="1">
      <alignment horizontal="center"/>
    </xf>
    <xf numFmtId="0" fontId="17" fillId="6" borderId="4" xfId="1" applyFont="1" applyFill="1" applyBorder="1"/>
    <xf numFmtId="0" fontId="9" fillId="6" borderId="4" xfId="1" applyFont="1" applyFill="1" applyBorder="1" applyAlignment="1">
      <alignment horizontal="left"/>
    </xf>
    <xf numFmtId="0" fontId="1" fillId="6" borderId="4" xfId="0" applyFont="1" applyFill="1" applyBorder="1"/>
    <xf numFmtId="0" fontId="1" fillId="6" borderId="29" xfId="0" applyFont="1" applyFill="1" applyBorder="1"/>
    <xf numFmtId="0" fontId="0" fillId="0" borderId="0" xfId="0" applyAlignment="1">
      <alignment wrapText="1"/>
    </xf>
    <xf numFmtId="0" fontId="9" fillId="6" borderId="4" xfId="1" applyFont="1" applyFill="1" applyBorder="1"/>
    <xf numFmtId="0" fontId="9" fillId="6" borderId="29" xfId="1" applyFont="1" applyFill="1" applyBorder="1"/>
    <xf numFmtId="0" fontId="0" fillId="0" borderId="29" xfId="0" applyBorder="1"/>
    <xf numFmtId="0" fontId="0" fillId="0" borderId="19" xfId="0" applyBorder="1"/>
    <xf numFmtId="44" fontId="0" fillId="2" borderId="4" xfId="3" applyFont="1" applyFill="1" applyBorder="1" applyAlignment="1">
      <alignment horizontal="center"/>
    </xf>
    <xf numFmtId="44" fontId="0" fillId="0" borderId="4" xfId="3" applyFont="1" applyBorder="1" applyAlignment="1">
      <alignment horizontal="center"/>
    </xf>
    <xf numFmtId="0" fontId="1" fillId="0" borderId="4" xfId="0" applyFont="1" applyBorder="1" applyAlignment="1">
      <alignment horizontal="left" vertical="center" wrapText="1"/>
    </xf>
    <xf numFmtId="0" fontId="1" fillId="0" borderId="2" xfId="0" applyFont="1" applyBorder="1" applyAlignment="1">
      <alignment horizontal="left" vertical="center" wrapText="1"/>
    </xf>
    <xf numFmtId="0" fontId="1" fillId="0" borderId="5" xfId="0" applyFont="1" applyBorder="1" applyAlignment="1">
      <alignment horizontal="left" vertical="center" wrapText="1"/>
    </xf>
    <xf numFmtId="0" fontId="1" fillId="0" borderId="3" xfId="0" applyFont="1" applyBorder="1" applyAlignment="1">
      <alignment horizontal="left" vertical="center" wrapText="1"/>
    </xf>
    <xf numFmtId="0" fontId="1" fillId="0" borderId="21" xfId="0" applyFont="1" applyBorder="1" applyAlignment="1">
      <alignment horizontal="left" vertical="center" wrapText="1"/>
    </xf>
    <xf numFmtId="0" fontId="1" fillId="0" borderId="1" xfId="0" applyFont="1" applyBorder="1" applyAlignment="1">
      <alignment horizontal="left" vertical="center" wrapText="1"/>
    </xf>
    <xf numFmtId="0" fontId="1" fillId="0" borderId="22" xfId="0" applyFont="1" applyBorder="1" applyAlignment="1">
      <alignment horizontal="left" vertical="center" wrapText="1"/>
    </xf>
    <xf numFmtId="0" fontId="1" fillId="0" borderId="4" xfId="0" applyFont="1" applyBorder="1" applyAlignment="1">
      <alignment horizontal="left" wrapText="1"/>
    </xf>
    <xf numFmtId="0" fontId="18" fillId="6" borderId="19" xfId="0" applyFont="1" applyFill="1" applyBorder="1" applyAlignment="1">
      <alignment horizontal="center"/>
    </xf>
    <xf numFmtId="0" fontId="18" fillId="6" borderId="0" xfId="0" applyFont="1" applyFill="1" applyAlignment="1">
      <alignment horizontal="center"/>
    </xf>
    <xf numFmtId="0" fontId="19" fillId="0" borderId="4" xfId="0" applyFont="1" applyBorder="1" applyAlignment="1">
      <alignment horizontal="left" vertical="center" wrapText="1"/>
    </xf>
    <xf numFmtId="0" fontId="1" fillId="0" borderId="2" xfId="0" applyFont="1" applyBorder="1" applyAlignment="1">
      <alignment horizontal="left" wrapText="1"/>
    </xf>
    <xf numFmtId="0" fontId="1" fillId="0" borderId="5" xfId="0" applyFont="1" applyBorder="1" applyAlignment="1">
      <alignment horizontal="left" wrapText="1"/>
    </xf>
    <xf numFmtId="0" fontId="1" fillId="0" borderId="3" xfId="0" applyFont="1" applyBorder="1" applyAlignment="1">
      <alignment horizontal="left" wrapText="1"/>
    </xf>
    <xf numFmtId="0" fontId="1" fillId="0" borderId="19" xfId="0" applyFont="1" applyBorder="1" applyAlignment="1">
      <alignment horizontal="left" wrapText="1"/>
    </xf>
    <xf numFmtId="0" fontId="1" fillId="0" borderId="0" xfId="0" applyFont="1" applyAlignment="1">
      <alignment horizontal="left" wrapText="1"/>
    </xf>
    <xf numFmtId="0" fontId="1" fillId="0" borderId="20" xfId="0" applyFont="1" applyBorder="1" applyAlignment="1">
      <alignment horizontal="left" wrapText="1"/>
    </xf>
    <xf numFmtId="0" fontId="1" fillId="0" borderId="21" xfId="0" applyFont="1" applyBorder="1" applyAlignment="1">
      <alignment horizontal="left" wrapText="1"/>
    </xf>
    <xf numFmtId="0" fontId="1" fillId="0" borderId="1" xfId="0" applyFont="1" applyBorder="1" applyAlignment="1">
      <alignment horizontal="left" wrapText="1"/>
    </xf>
    <xf numFmtId="0" fontId="1" fillId="0" borderId="22" xfId="0" applyFont="1" applyBorder="1" applyAlignment="1">
      <alignment horizontal="left" wrapText="1"/>
    </xf>
    <xf numFmtId="0" fontId="14" fillId="6" borderId="24" xfId="0" applyFont="1" applyFill="1" applyBorder="1" applyAlignment="1">
      <alignment horizontal="center"/>
    </xf>
    <xf numFmtId="0" fontId="5" fillId="0" borderId="2" xfId="1" applyFont="1" applyBorder="1" applyAlignment="1">
      <alignment horizontal="center"/>
    </xf>
    <xf numFmtId="0" fontId="5" fillId="0" borderId="3" xfId="1" applyFont="1" applyBorder="1" applyAlignment="1">
      <alignment horizontal="center"/>
    </xf>
    <xf numFmtId="0" fontId="3" fillId="5" borderId="6" xfId="1" applyFont="1" applyFill="1" applyBorder="1" applyAlignment="1">
      <alignment horizontal="center"/>
    </xf>
    <xf numFmtId="0" fontId="3" fillId="5" borderId="7" xfId="1" applyFont="1" applyFill="1" applyBorder="1" applyAlignment="1">
      <alignment horizontal="center"/>
    </xf>
    <xf numFmtId="0" fontId="0" fillId="0" borderId="4" xfId="0" applyBorder="1" applyAlignment="1">
      <alignment horizontal="left" wrapText="1"/>
    </xf>
    <xf numFmtId="0" fontId="1" fillId="6" borderId="4" xfId="0" applyFont="1" applyFill="1" applyBorder="1" applyAlignment="1">
      <alignment horizontal="center"/>
    </xf>
    <xf numFmtId="0" fontId="1" fillId="0" borderId="4" xfId="0" applyFont="1" applyBorder="1" applyAlignment="1">
      <alignment horizontal="center"/>
    </xf>
    <xf numFmtId="0" fontId="0" fillId="0" borderId="4" xfId="0" applyBorder="1" applyAlignment="1">
      <alignment horizontal="center"/>
    </xf>
    <xf numFmtId="0" fontId="9" fillId="4" borderId="4" xfId="1" applyFont="1" applyFill="1" applyBorder="1" applyAlignment="1">
      <alignment horizontal="center"/>
    </xf>
    <xf numFmtId="0" fontId="7" fillId="0" borderId="4" xfId="1" applyFont="1" applyBorder="1" applyAlignment="1">
      <alignment horizontal="center"/>
    </xf>
    <xf numFmtId="0" fontId="0" fillId="0" borderId="4" xfId="0" applyBorder="1" applyAlignment="1">
      <alignment horizontal="left" vertical="center" wrapText="1"/>
    </xf>
    <xf numFmtId="0" fontId="17" fillId="6" borderId="0" xfId="1" applyFont="1" applyFill="1" applyAlignment="1">
      <alignment horizontal="center"/>
    </xf>
    <xf numFmtId="0" fontId="9" fillId="5" borderId="14" xfId="1" applyFont="1" applyFill="1" applyBorder="1" applyAlignment="1">
      <alignment horizontal="center"/>
    </xf>
    <xf numFmtId="0" fontId="9" fillId="5" borderId="15" xfId="1" applyFont="1" applyFill="1" applyBorder="1" applyAlignment="1">
      <alignment horizontal="center"/>
    </xf>
    <xf numFmtId="0" fontId="9" fillId="0" borderId="10" xfId="1" applyFont="1" applyBorder="1" applyAlignment="1">
      <alignment horizontal="center"/>
    </xf>
    <xf numFmtId="0" fontId="9" fillId="0" borderId="11" xfId="1" applyFont="1" applyBorder="1" applyAlignment="1">
      <alignment horizontal="center"/>
    </xf>
    <xf numFmtId="0" fontId="9" fillId="0" borderId="12" xfId="1" applyFont="1" applyBorder="1" applyAlignment="1">
      <alignment horizontal="center"/>
    </xf>
    <xf numFmtId="0" fontId="9" fillId="0" borderId="13" xfId="1" applyFont="1" applyBorder="1" applyAlignment="1">
      <alignment horizontal="center"/>
    </xf>
    <xf numFmtId="0" fontId="9" fillId="4" borderId="14" xfId="1" applyFont="1" applyFill="1" applyBorder="1" applyAlignment="1">
      <alignment horizontal="center"/>
    </xf>
    <xf numFmtId="0" fontId="9" fillId="4" borderId="15" xfId="1" applyFont="1" applyFill="1" applyBorder="1" applyAlignment="1">
      <alignment horizontal="center"/>
    </xf>
    <xf numFmtId="0" fontId="7" fillId="0" borderId="14" xfId="1" applyFont="1" applyBorder="1" applyAlignment="1">
      <alignment horizontal="center"/>
    </xf>
    <xf numFmtId="0" fontId="7" fillId="0" borderId="15" xfId="1" applyFont="1" applyBorder="1" applyAlignment="1">
      <alignment horizontal="center"/>
    </xf>
    <xf numFmtId="0" fontId="7" fillId="0" borderId="2" xfId="1" applyFont="1" applyBorder="1" applyAlignment="1">
      <alignment horizontal="center"/>
    </xf>
    <xf numFmtId="0" fontId="7" fillId="0" borderId="3" xfId="1" applyFont="1" applyBorder="1" applyAlignment="1">
      <alignment horizontal="center"/>
    </xf>
    <xf numFmtId="0" fontId="10" fillId="0" borderId="25" xfId="1" applyFont="1" applyBorder="1" applyAlignment="1">
      <alignment horizontal="right"/>
    </xf>
    <xf numFmtId="0" fontId="10" fillId="0" borderId="26" xfId="1" applyFont="1" applyBorder="1" applyAlignment="1">
      <alignment horizontal="right"/>
    </xf>
    <xf numFmtId="0" fontId="10" fillId="0" borderId="27" xfId="1" applyFont="1" applyBorder="1" applyAlignment="1">
      <alignment horizontal="right"/>
    </xf>
    <xf numFmtId="0" fontId="0" fillId="0" borderId="6" xfId="0" applyBorder="1" applyAlignment="1">
      <alignment horizontal="center"/>
    </xf>
    <xf numFmtId="0" fontId="0" fillId="0" borderId="9" xfId="0" applyBorder="1" applyAlignment="1">
      <alignment horizontal="center"/>
    </xf>
    <xf numFmtId="0" fontId="0" fillId="0" borderId="4" xfId="0" applyBorder="1" applyAlignment="1">
      <alignment horizontal="left"/>
    </xf>
  </cellXfs>
  <cellStyles count="4">
    <cellStyle name="Currency" xfId="3" builtinId="4"/>
    <cellStyle name="Normal" xfId="0" builtinId="0"/>
    <cellStyle name="Normal 2" xfId="1" xr:uid="{492A92FC-4E50-4B86-A47C-3ADD005F9D0A}"/>
    <cellStyle name="Percent 2" xfId="2" xr:uid="{313EBDCC-59CA-4750-986A-E110214B63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0</xdr:col>
      <xdr:colOff>230417</xdr:colOff>
      <xdr:row>20</xdr:row>
      <xdr:rowOff>3382</xdr:rowOff>
    </xdr:from>
    <xdr:ext cx="1145314" cy="1737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533DBD3-F6E1-9DCC-65B9-AFCB8A1714CD}"/>
                </a:ext>
              </a:extLst>
            </xdr:cNvPr>
            <xdr:cNvSpPr txBox="1"/>
          </xdr:nvSpPr>
          <xdr:spPr>
            <a:xfrm>
              <a:off x="230417" y="3786361"/>
              <a:ext cx="114531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latin typeface="Cambria Math" panose="02040503050406030204" pitchFamily="18" charset="0"/>
                          </a:rPr>
                        </m:ctrlPr>
                      </m:sSubPr>
                      <m:e>
                        <m:r>
                          <m:rPr>
                            <m:nor/>
                          </m:rPr>
                          <a:rPr lang="el-GR"/>
                          <m:t>μ</m:t>
                        </m:r>
                      </m:e>
                      <m:sub>
                        <m:r>
                          <a:rPr lang="en-US" sz="1100" b="0" i="1">
                            <a:latin typeface="Cambria Math" panose="02040503050406030204" pitchFamily="18" charset="0"/>
                          </a:rPr>
                          <m:t>1</m:t>
                        </m:r>
                      </m:sub>
                    </m:sSub>
                    <m:r>
                      <a:rPr lang="en-US" sz="1100" b="0" i="1">
                        <a:latin typeface="Cambria Math" panose="02040503050406030204" pitchFamily="18" charset="0"/>
                      </a:rPr>
                      <m:t>= </m:t>
                    </m:r>
                    <m:sSub>
                      <m:sSubPr>
                        <m:ctrlPr>
                          <a:rPr lang="en-US" sz="1100" i="1">
                            <a:solidFill>
                              <a:schemeClr val="tx1"/>
                            </a:solidFill>
                            <a:effectLst/>
                            <a:latin typeface="Cambria Math" panose="02040503050406030204" pitchFamily="18" charset="0"/>
                            <a:ea typeface="+mn-ea"/>
                            <a:cs typeface="+mn-cs"/>
                          </a:rPr>
                        </m:ctrlPr>
                      </m:sSubPr>
                      <m:e>
                        <m:r>
                          <m:rPr>
                            <m:nor/>
                          </m:rPr>
                          <a:rPr lang="el-GR" sz="1100">
                            <a:solidFill>
                              <a:schemeClr val="tx1"/>
                            </a:solidFill>
                            <a:effectLst/>
                            <a:latin typeface="+mn-lt"/>
                            <a:ea typeface="+mn-ea"/>
                            <a:cs typeface="+mn-cs"/>
                          </a:rPr>
                          <m:t>μ</m:t>
                        </m:r>
                      </m:e>
                      <m:sub>
                        <m:r>
                          <a:rPr lang="en-US" sz="1100" b="0" i="1">
                            <a:solidFill>
                              <a:schemeClr val="tx1"/>
                            </a:solidFill>
                            <a:effectLst/>
                            <a:latin typeface="Cambria Math" panose="02040503050406030204" pitchFamily="18" charset="0"/>
                            <a:ea typeface="+mn-ea"/>
                            <a:cs typeface="+mn-cs"/>
                          </a:rPr>
                          <m:t>2</m:t>
                        </m:r>
                      </m:sub>
                    </m:sSub>
                    <m:r>
                      <a:rPr lang="en-US" sz="1100" b="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m:rPr>
                            <m:nor/>
                          </m:rPr>
                          <a:rPr lang="el-GR" sz="1100">
                            <a:solidFill>
                              <a:schemeClr val="tx1"/>
                            </a:solidFill>
                            <a:effectLst/>
                            <a:latin typeface="+mn-lt"/>
                            <a:ea typeface="+mn-ea"/>
                            <a:cs typeface="+mn-cs"/>
                          </a:rPr>
                          <m:t>μ</m:t>
                        </m:r>
                      </m:e>
                      <m:sub>
                        <m:r>
                          <a:rPr lang="en-US" sz="1100" b="0" i="1">
                            <a:solidFill>
                              <a:schemeClr val="tx1"/>
                            </a:solidFill>
                            <a:effectLst/>
                            <a:latin typeface="Cambria Math" panose="02040503050406030204" pitchFamily="18" charset="0"/>
                            <a:ea typeface="+mn-ea"/>
                            <a:cs typeface="+mn-cs"/>
                          </a:rPr>
                          <m:t>3</m:t>
                        </m:r>
                      </m:sub>
                    </m:sSub>
                    <m:r>
                      <a:rPr lang="en-US" sz="1100" b="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m:rPr>
                            <m:nor/>
                          </m:rPr>
                          <a:rPr lang="en-US" sz="1100" b="0" i="0">
                            <a:solidFill>
                              <a:schemeClr val="tx1"/>
                            </a:solidFill>
                            <a:effectLst/>
                            <a:latin typeface="+mn-lt"/>
                            <a:ea typeface="+mn-ea"/>
                            <a:cs typeface="+mn-cs"/>
                          </a:rPr>
                          <m:t> </m:t>
                        </m:r>
                        <m:r>
                          <m:rPr>
                            <m:nor/>
                          </m:rPr>
                          <a:rPr lang="el-GR" sz="1100">
                            <a:solidFill>
                              <a:schemeClr val="tx1"/>
                            </a:solidFill>
                            <a:effectLst/>
                            <a:latin typeface="+mn-lt"/>
                            <a:ea typeface="+mn-ea"/>
                            <a:cs typeface="+mn-cs"/>
                          </a:rPr>
                          <m:t>μ</m:t>
                        </m:r>
                      </m:e>
                      <m:sub>
                        <m:r>
                          <a:rPr lang="en-US" sz="1100" b="0" i="1">
                            <a:solidFill>
                              <a:schemeClr val="tx1"/>
                            </a:solidFill>
                            <a:effectLst/>
                            <a:latin typeface="Cambria Math" panose="02040503050406030204" pitchFamily="18" charset="0"/>
                            <a:ea typeface="+mn-ea"/>
                            <a:cs typeface="+mn-cs"/>
                          </a:rPr>
                          <m:t>4</m:t>
                        </m:r>
                      </m:sub>
                    </m:sSub>
                  </m:oMath>
                </m:oMathPara>
              </a14:m>
              <a:endParaRPr lang="en-US" sz="1100"/>
            </a:p>
          </xdr:txBody>
        </xdr:sp>
      </mc:Choice>
      <mc:Fallback xmlns="">
        <xdr:sp macro="" textlink="">
          <xdr:nvSpPr>
            <xdr:cNvPr id="2" name="TextBox 1">
              <a:extLst>
                <a:ext uri="{FF2B5EF4-FFF2-40B4-BE49-F238E27FC236}">
                  <a16:creationId xmlns:a16="http://schemas.microsoft.com/office/drawing/2014/main" id="{2533DBD3-F6E1-9DCC-65B9-AFCB8A1714CD}"/>
                </a:ext>
              </a:extLst>
            </xdr:cNvPr>
            <xdr:cNvSpPr txBox="1"/>
          </xdr:nvSpPr>
          <xdr:spPr>
            <a:xfrm>
              <a:off x="230417" y="3786361"/>
              <a:ext cx="114531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l-GR" i="0"/>
                <a:t>"μ</a:t>
              </a:r>
              <a:r>
                <a:rPr lang="en-US" sz="1100" i="0">
                  <a:latin typeface="Cambria Math" panose="02040503050406030204" pitchFamily="18" charset="0"/>
                </a:rPr>
                <a:t>" _</a:t>
              </a:r>
              <a:r>
                <a:rPr lang="en-US" sz="1100" b="0" i="0">
                  <a:latin typeface="Cambria Math" panose="02040503050406030204" pitchFamily="18" charset="0"/>
                </a:rPr>
                <a:t>1= </a:t>
              </a:r>
              <a:r>
                <a:rPr lang="el-GR" sz="1100" i="0">
                  <a:solidFill>
                    <a:schemeClr val="tx1"/>
                  </a:solidFill>
                  <a:effectLst/>
                  <a:latin typeface="+mn-lt"/>
                  <a:ea typeface="+mn-ea"/>
                  <a:cs typeface="+mn-cs"/>
                </a:rPr>
                <a:t>"μ" </a:t>
              </a:r>
              <a:r>
                <a:rPr lang="en-US" sz="1100" i="0">
                  <a:solidFill>
                    <a:schemeClr val="tx1"/>
                  </a:solidFill>
                  <a:effectLst/>
                  <a:latin typeface="+mn-lt"/>
                  <a:ea typeface="+mn-ea"/>
                  <a:cs typeface="+mn-cs"/>
                </a:rPr>
                <a:t>_</a:t>
              </a:r>
              <a:r>
                <a:rPr lang="en-US" sz="1100" b="0" i="0">
                  <a:solidFill>
                    <a:schemeClr val="tx1"/>
                  </a:solidFill>
                  <a:effectLst/>
                  <a:latin typeface="Cambria Math" panose="02040503050406030204" pitchFamily="18" charset="0"/>
                  <a:ea typeface="+mn-ea"/>
                  <a:cs typeface="+mn-cs"/>
                </a:rPr>
                <a:t>2=</a:t>
              </a:r>
              <a:r>
                <a:rPr lang="el-GR" sz="1100" i="0">
                  <a:solidFill>
                    <a:schemeClr val="tx1"/>
                  </a:solidFill>
                  <a:effectLst/>
                  <a:latin typeface="+mn-lt"/>
                  <a:ea typeface="+mn-ea"/>
                  <a:cs typeface="+mn-cs"/>
                </a:rPr>
                <a:t>"μ" </a:t>
              </a:r>
              <a:r>
                <a:rPr lang="en-US" sz="1100" i="0">
                  <a:solidFill>
                    <a:schemeClr val="tx1"/>
                  </a:solidFill>
                  <a:effectLst/>
                  <a:latin typeface="+mn-lt"/>
                  <a:ea typeface="+mn-ea"/>
                  <a:cs typeface="+mn-cs"/>
                </a:rPr>
                <a:t>_</a:t>
              </a:r>
              <a:r>
                <a:rPr lang="en-US" sz="1100" b="0" i="0">
                  <a:solidFill>
                    <a:schemeClr val="tx1"/>
                  </a:solidFill>
                  <a:effectLst/>
                  <a:latin typeface="Cambria Math" panose="02040503050406030204" pitchFamily="18" charset="0"/>
                  <a:ea typeface="+mn-ea"/>
                  <a:cs typeface="+mn-cs"/>
                </a:rPr>
                <a:t>3=</a:t>
              </a:r>
              <a:r>
                <a:rPr lang="en-US" sz="1100" i="0">
                  <a:solidFill>
                    <a:schemeClr val="tx1"/>
                  </a:solidFill>
                  <a:effectLst/>
                  <a:latin typeface="+mn-lt"/>
                  <a:ea typeface="+mn-ea"/>
                  <a:cs typeface="+mn-cs"/>
                </a:rPr>
                <a:t>〖</a:t>
              </a:r>
              <a:r>
                <a:rPr lang="en-US" sz="1100" b="0" i="0">
                  <a:solidFill>
                    <a:schemeClr val="tx1"/>
                  </a:solidFill>
                  <a:effectLst/>
                  <a:latin typeface="+mn-lt"/>
                  <a:ea typeface="+mn-ea"/>
                  <a:cs typeface="+mn-cs"/>
                </a:rPr>
                <a:t>" </a:t>
              </a:r>
              <a:r>
                <a:rPr lang="el-GR" sz="1100" i="0">
                  <a:solidFill>
                    <a:schemeClr val="tx1"/>
                  </a:solidFill>
                  <a:effectLst/>
                  <a:latin typeface="+mn-lt"/>
                  <a:ea typeface="+mn-ea"/>
                  <a:cs typeface="+mn-cs"/>
                </a:rPr>
                <a:t>μ" </a:t>
              </a:r>
              <a:r>
                <a:rPr lang="en-US" sz="1100" i="0">
                  <a:solidFill>
                    <a:schemeClr val="tx1"/>
                  </a:solidFill>
                  <a:effectLst/>
                  <a:latin typeface="+mn-lt"/>
                  <a:ea typeface="+mn-ea"/>
                  <a:cs typeface="+mn-cs"/>
                </a:rPr>
                <a:t>〗_</a:t>
              </a:r>
              <a:r>
                <a:rPr lang="en-US" sz="1100" b="0" i="0">
                  <a:solidFill>
                    <a:schemeClr val="tx1"/>
                  </a:solidFill>
                  <a:effectLst/>
                  <a:latin typeface="Cambria Math" panose="02040503050406030204" pitchFamily="18" charset="0"/>
                  <a:ea typeface="+mn-ea"/>
                  <a:cs typeface="+mn-cs"/>
                </a:rPr>
                <a:t>4</a:t>
              </a:r>
              <a:endParaRPr lang="en-US" sz="11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0</xdr:col>
      <xdr:colOff>230417</xdr:colOff>
      <xdr:row>18</xdr:row>
      <xdr:rowOff>3382</xdr:rowOff>
    </xdr:from>
    <xdr:ext cx="1145314" cy="1737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18091A8-6027-464C-981F-52BC9634D4E1}"/>
                </a:ext>
              </a:extLst>
            </xdr:cNvPr>
            <xdr:cNvSpPr txBox="1"/>
          </xdr:nvSpPr>
          <xdr:spPr>
            <a:xfrm>
              <a:off x="230417" y="3813382"/>
              <a:ext cx="114531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latin typeface="Cambria Math" panose="02040503050406030204" pitchFamily="18" charset="0"/>
                          </a:rPr>
                        </m:ctrlPr>
                      </m:sSubPr>
                      <m:e>
                        <m:r>
                          <m:rPr>
                            <m:nor/>
                          </m:rPr>
                          <a:rPr lang="el-GR"/>
                          <m:t>μ</m:t>
                        </m:r>
                      </m:e>
                      <m:sub>
                        <m:r>
                          <a:rPr lang="en-US" sz="1100" b="0" i="1">
                            <a:latin typeface="Cambria Math" panose="02040503050406030204" pitchFamily="18" charset="0"/>
                          </a:rPr>
                          <m:t>1</m:t>
                        </m:r>
                      </m:sub>
                    </m:sSub>
                    <m:r>
                      <a:rPr lang="en-US" sz="1100" b="0" i="1">
                        <a:latin typeface="Cambria Math" panose="02040503050406030204" pitchFamily="18" charset="0"/>
                      </a:rPr>
                      <m:t>= </m:t>
                    </m:r>
                    <m:sSub>
                      <m:sSubPr>
                        <m:ctrlPr>
                          <a:rPr lang="en-US" sz="1100" i="1">
                            <a:solidFill>
                              <a:schemeClr val="tx1"/>
                            </a:solidFill>
                            <a:effectLst/>
                            <a:latin typeface="Cambria Math" panose="02040503050406030204" pitchFamily="18" charset="0"/>
                            <a:ea typeface="+mn-ea"/>
                            <a:cs typeface="+mn-cs"/>
                          </a:rPr>
                        </m:ctrlPr>
                      </m:sSubPr>
                      <m:e>
                        <m:r>
                          <m:rPr>
                            <m:nor/>
                          </m:rPr>
                          <a:rPr lang="el-GR" sz="1100">
                            <a:solidFill>
                              <a:schemeClr val="tx1"/>
                            </a:solidFill>
                            <a:effectLst/>
                            <a:latin typeface="+mn-lt"/>
                            <a:ea typeface="+mn-ea"/>
                            <a:cs typeface="+mn-cs"/>
                          </a:rPr>
                          <m:t>μ</m:t>
                        </m:r>
                      </m:e>
                      <m:sub>
                        <m:r>
                          <a:rPr lang="en-US" sz="1100" b="0" i="1">
                            <a:solidFill>
                              <a:schemeClr val="tx1"/>
                            </a:solidFill>
                            <a:effectLst/>
                            <a:latin typeface="Cambria Math" panose="02040503050406030204" pitchFamily="18" charset="0"/>
                            <a:ea typeface="+mn-ea"/>
                            <a:cs typeface="+mn-cs"/>
                          </a:rPr>
                          <m:t>2</m:t>
                        </m:r>
                      </m:sub>
                    </m:sSub>
                    <m:r>
                      <a:rPr lang="en-US" sz="1100" b="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m:rPr>
                            <m:nor/>
                          </m:rPr>
                          <a:rPr lang="el-GR" sz="1100">
                            <a:solidFill>
                              <a:schemeClr val="tx1"/>
                            </a:solidFill>
                            <a:effectLst/>
                            <a:latin typeface="+mn-lt"/>
                            <a:ea typeface="+mn-ea"/>
                            <a:cs typeface="+mn-cs"/>
                          </a:rPr>
                          <m:t>μ</m:t>
                        </m:r>
                      </m:e>
                      <m:sub>
                        <m:r>
                          <a:rPr lang="en-US" sz="1100" b="0" i="1">
                            <a:solidFill>
                              <a:schemeClr val="tx1"/>
                            </a:solidFill>
                            <a:effectLst/>
                            <a:latin typeface="Cambria Math" panose="02040503050406030204" pitchFamily="18" charset="0"/>
                            <a:ea typeface="+mn-ea"/>
                            <a:cs typeface="+mn-cs"/>
                          </a:rPr>
                          <m:t>3</m:t>
                        </m:r>
                      </m:sub>
                    </m:sSub>
                    <m:r>
                      <a:rPr lang="en-US" sz="1100" b="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m:rPr>
                            <m:nor/>
                          </m:rPr>
                          <a:rPr lang="en-US" sz="1100" b="0" i="0">
                            <a:solidFill>
                              <a:schemeClr val="tx1"/>
                            </a:solidFill>
                            <a:effectLst/>
                            <a:latin typeface="+mn-lt"/>
                            <a:ea typeface="+mn-ea"/>
                            <a:cs typeface="+mn-cs"/>
                          </a:rPr>
                          <m:t> </m:t>
                        </m:r>
                        <m:r>
                          <m:rPr>
                            <m:nor/>
                          </m:rPr>
                          <a:rPr lang="el-GR" sz="1100">
                            <a:solidFill>
                              <a:schemeClr val="tx1"/>
                            </a:solidFill>
                            <a:effectLst/>
                            <a:latin typeface="+mn-lt"/>
                            <a:ea typeface="+mn-ea"/>
                            <a:cs typeface="+mn-cs"/>
                          </a:rPr>
                          <m:t>μ</m:t>
                        </m:r>
                      </m:e>
                      <m:sub>
                        <m:r>
                          <a:rPr lang="en-US" sz="1100" b="0" i="1">
                            <a:solidFill>
                              <a:schemeClr val="tx1"/>
                            </a:solidFill>
                            <a:effectLst/>
                            <a:latin typeface="Cambria Math" panose="02040503050406030204" pitchFamily="18" charset="0"/>
                            <a:ea typeface="+mn-ea"/>
                            <a:cs typeface="+mn-cs"/>
                          </a:rPr>
                          <m:t>4</m:t>
                        </m:r>
                      </m:sub>
                    </m:sSub>
                  </m:oMath>
                </m:oMathPara>
              </a14:m>
              <a:endParaRPr lang="en-US" sz="1100"/>
            </a:p>
          </xdr:txBody>
        </xdr:sp>
      </mc:Choice>
      <mc:Fallback xmlns="">
        <xdr:sp macro="" textlink="">
          <xdr:nvSpPr>
            <xdr:cNvPr id="2" name="TextBox 1">
              <a:extLst>
                <a:ext uri="{FF2B5EF4-FFF2-40B4-BE49-F238E27FC236}">
                  <a16:creationId xmlns:a16="http://schemas.microsoft.com/office/drawing/2014/main" id="{F18091A8-6027-464C-981F-52BC9634D4E1}"/>
                </a:ext>
              </a:extLst>
            </xdr:cNvPr>
            <xdr:cNvSpPr txBox="1"/>
          </xdr:nvSpPr>
          <xdr:spPr>
            <a:xfrm>
              <a:off x="230417" y="3813382"/>
              <a:ext cx="114531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l-GR" i="0"/>
                <a:t>"μ</a:t>
              </a:r>
              <a:r>
                <a:rPr lang="en-US" sz="1100" i="0">
                  <a:latin typeface="Cambria Math" panose="02040503050406030204" pitchFamily="18" charset="0"/>
                </a:rPr>
                <a:t>" _</a:t>
              </a:r>
              <a:r>
                <a:rPr lang="en-US" sz="1100" b="0" i="0">
                  <a:latin typeface="Cambria Math" panose="02040503050406030204" pitchFamily="18" charset="0"/>
                </a:rPr>
                <a:t>1= </a:t>
              </a:r>
              <a:r>
                <a:rPr lang="el-GR" sz="1100" i="0">
                  <a:solidFill>
                    <a:schemeClr val="tx1"/>
                  </a:solidFill>
                  <a:effectLst/>
                  <a:latin typeface="+mn-lt"/>
                  <a:ea typeface="+mn-ea"/>
                  <a:cs typeface="+mn-cs"/>
                </a:rPr>
                <a:t>"μ" </a:t>
              </a:r>
              <a:r>
                <a:rPr lang="en-US" sz="1100" i="0">
                  <a:solidFill>
                    <a:schemeClr val="tx1"/>
                  </a:solidFill>
                  <a:effectLst/>
                  <a:latin typeface="+mn-lt"/>
                  <a:ea typeface="+mn-ea"/>
                  <a:cs typeface="+mn-cs"/>
                </a:rPr>
                <a:t>_</a:t>
              </a:r>
              <a:r>
                <a:rPr lang="en-US" sz="1100" b="0" i="0">
                  <a:solidFill>
                    <a:schemeClr val="tx1"/>
                  </a:solidFill>
                  <a:effectLst/>
                  <a:latin typeface="Cambria Math" panose="02040503050406030204" pitchFamily="18" charset="0"/>
                  <a:ea typeface="+mn-ea"/>
                  <a:cs typeface="+mn-cs"/>
                </a:rPr>
                <a:t>2=</a:t>
              </a:r>
              <a:r>
                <a:rPr lang="el-GR" sz="1100" i="0">
                  <a:solidFill>
                    <a:schemeClr val="tx1"/>
                  </a:solidFill>
                  <a:effectLst/>
                  <a:latin typeface="+mn-lt"/>
                  <a:ea typeface="+mn-ea"/>
                  <a:cs typeface="+mn-cs"/>
                </a:rPr>
                <a:t>"μ" </a:t>
              </a:r>
              <a:r>
                <a:rPr lang="en-US" sz="1100" i="0">
                  <a:solidFill>
                    <a:schemeClr val="tx1"/>
                  </a:solidFill>
                  <a:effectLst/>
                  <a:latin typeface="+mn-lt"/>
                  <a:ea typeface="+mn-ea"/>
                  <a:cs typeface="+mn-cs"/>
                </a:rPr>
                <a:t>_</a:t>
              </a:r>
              <a:r>
                <a:rPr lang="en-US" sz="1100" b="0" i="0">
                  <a:solidFill>
                    <a:schemeClr val="tx1"/>
                  </a:solidFill>
                  <a:effectLst/>
                  <a:latin typeface="Cambria Math" panose="02040503050406030204" pitchFamily="18" charset="0"/>
                  <a:ea typeface="+mn-ea"/>
                  <a:cs typeface="+mn-cs"/>
                </a:rPr>
                <a:t>3=</a:t>
              </a:r>
              <a:r>
                <a:rPr lang="en-US" sz="1100" i="0">
                  <a:solidFill>
                    <a:schemeClr val="tx1"/>
                  </a:solidFill>
                  <a:effectLst/>
                  <a:latin typeface="+mn-lt"/>
                  <a:ea typeface="+mn-ea"/>
                  <a:cs typeface="+mn-cs"/>
                </a:rPr>
                <a:t>〖</a:t>
              </a:r>
              <a:r>
                <a:rPr lang="en-US" sz="1100" b="0" i="0">
                  <a:solidFill>
                    <a:schemeClr val="tx1"/>
                  </a:solidFill>
                  <a:effectLst/>
                  <a:latin typeface="+mn-lt"/>
                  <a:ea typeface="+mn-ea"/>
                  <a:cs typeface="+mn-cs"/>
                </a:rPr>
                <a:t>" </a:t>
              </a:r>
              <a:r>
                <a:rPr lang="el-GR" sz="1100" i="0">
                  <a:solidFill>
                    <a:schemeClr val="tx1"/>
                  </a:solidFill>
                  <a:effectLst/>
                  <a:latin typeface="+mn-lt"/>
                  <a:ea typeface="+mn-ea"/>
                  <a:cs typeface="+mn-cs"/>
                </a:rPr>
                <a:t>μ" </a:t>
              </a:r>
              <a:r>
                <a:rPr lang="en-US" sz="1100" i="0">
                  <a:solidFill>
                    <a:schemeClr val="tx1"/>
                  </a:solidFill>
                  <a:effectLst/>
                  <a:latin typeface="+mn-lt"/>
                  <a:ea typeface="+mn-ea"/>
                  <a:cs typeface="+mn-cs"/>
                </a:rPr>
                <a:t>〗_</a:t>
              </a:r>
              <a:r>
                <a:rPr lang="en-US" sz="1100" b="0" i="0">
                  <a:solidFill>
                    <a:schemeClr val="tx1"/>
                  </a:solidFill>
                  <a:effectLst/>
                  <a:latin typeface="Cambria Math" panose="02040503050406030204" pitchFamily="18" charset="0"/>
                  <a:ea typeface="+mn-ea"/>
                  <a:cs typeface="+mn-cs"/>
                </a:rPr>
                <a:t>4</a:t>
              </a:r>
              <a:endParaRPr lang="en-US" sz="1100"/>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86AF9-52C9-4422-908A-0036D003DC84}">
  <dimension ref="A1:J23"/>
  <sheetViews>
    <sheetView showGridLines="0" topLeftCell="A4" zoomScale="75" workbookViewId="0">
      <selection activeCell="F26" sqref="F26"/>
    </sheetView>
  </sheetViews>
  <sheetFormatPr defaultRowHeight="14.5" x14ac:dyDescent="0.35"/>
  <sheetData>
    <row r="1" spans="1:10" ht="16" x14ac:dyDescent="0.4">
      <c r="A1" s="97" t="s">
        <v>132</v>
      </c>
      <c r="B1" s="98"/>
      <c r="C1" s="98"/>
    </row>
    <row r="2" spans="1:10" ht="14.5" customHeight="1" x14ac:dyDescent="0.35">
      <c r="A2" s="99" t="s">
        <v>131</v>
      </c>
      <c r="B2" s="99"/>
      <c r="C2" s="99"/>
      <c r="D2" s="99"/>
      <c r="E2" s="99"/>
      <c r="F2" s="99"/>
      <c r="G2" s="99"/>
      <c r="H2" s="99"/>
      <c r="I2" s="99"/>
      <c r="J2" s="99"/>
    </row>
    <row r="3" spans="1:10" x14ac:dyDescent="0.35">
      <c r="A3" s="99"/>
      <c r="B3" s="99"/>
      <c r="C3" s="99"/>
      <c r="D3" s="99"/>
      <c r="E3" s="99"/>
      <c r="F3" s="99"/>
      <c r="G3" s="99"/>
      <c r="H3" s="99"/>
      <c r="I3" s="99"/>
      <c r="J3" s="99"/>
    </row>
    <row r="4" spans="1:10" x14ac:dyDescent="0.35">
      <c r="A4" s="99"/>
      <c r="B4" s="99"/>
      <c r="C4" s="99"/>
      <c r="D4" s="99"/>
      <c r="E4" s="99"/>
      <c r="F4" s="99"/>
      <c r="G4" s="99"/>
      <c r="H4" s="99"/>
      <c r="I4" s="99"/>
      <c r="J4" s="99"/>
    </row>
    <row r="5" spans="1:10" x14ac:dyDescent="0.35">
      <c r="A5" s="99"/>
      <c r="B5" s="99"/>
      <c r="C5" s="99"/>
      <c r="D5" s="99"/>
      <c r="E5" s="99"/>
      <c r="F5" s="99"/>
      <c r="G5" s="99"/>
      <c r="H5" s="99"/>
      <c r="I5" s="99"/>
      <c r="J5" s="99"/>
    </row>
    <row r="6" spans="1:10" x14ac:dyDescent="0.35">
      <c r="A6" s="99"/>
      <c r="B6" s="99"/>
      <c r="C6" s="99"/>
      <c r="D6" s="99"/>
      <c r="E6" s="99"/>
      <c r="F6" s="99"/>
      <c r="G6" s="99"/>
      <c r="H6" s="99"/>
      <c r="I6" s="99"/>
      <c r="J6" s="99"/>
    </row>
    <row r="7" spans="1:10" x14ac:dyDescent="0.35">
      <c r="A7" s="99"/>
      <c r="B7" s="99"/>
      <c r="C7" s="99"/>
      <c r="D7" s="99"/>
      <c r="E7" s="99"/>
      <c r="F7" s="99"/>
      <c r="G7" s="99"/>
      <c r="H7" s="99"/>
      <c r="I7" s="99"/>
      <c r="J7" s="99"/>
    </row>
    <row r="9" spans="1:10" ht="14.5" customHeight="1" x14ac:dyDescent="0.35">
      <c r="A9" s="100" t="s">
        <v>133</v>
      </c>
      <c r="B9" s="101"/>
      <c r="C9" s="101"/>
      <c r="D9" s="101"/>
      <c r="E9" s="101"/>
      <c r="F9" s="101"/>
      <c r="G9" s="101"/>
      <c r="H9" s="101"/>
      <c r="I9" s="102"/>
    </row>
    <row r="10" spans="1:10" x14ac:dyDescent="0.35">
      <c r="A10" s="103"/>
      <c r="B10" s="104"/>
      <c r="C10" s="104"/>
      <c r="D10" s="104"/>
      <c r="E10" s="104"/>
      <c r="F10" s="104"/>
      <c r="G10" s="104"/>
      <c r="H10" s="104"/>
      <c r="I10" s="105"/>
    </row>
    <row r="11" spans="1:10" x14ac:dyDescent="0.35">
      <c r="A11" s="106"/>
      <c r="B11" s="107"/>
      <c r="C11" s="107"/>
      <c r="D11" s="107"/>
      <c r="E11" s="107"/>
      <c r="F11" s="107"/>
      <c r="G11" s="107"/>
      <c r="H11" s="107"/>
      <c r="I11" s="108"/>
    </row>
    <row r="12" spans="1:10" x14ac:dyDescent="0.35">
      <c r="A12" s="96" t="s">
        <v>134</v>
      </c>
      <c r="B12" s="96"/>
      <c r="C12" s="96"/>
      <c r="D12" s="96"/>
      <c r="E12" s="96"/>
      <c r="F12" s="96"/>
      <c r="G12" s="96"/>
      <c r="H12" s="96"/>
      <c r="I12" s="96"/>
    </row>
    <row r="13" spans="1:10" x14ac:dyDescent="0.35">
      <c r="A13" s="96"/>
      <c r="B13" s="96"/>
      <c r="C13" s="96"/>
      <c r="D13" s="96"/>
      <c r="E13" s="96"/>
      <c r="F13" s="96"/>
      <c r="G13" s="96"/>
      <c r="H13" s="96"/>
      <c r="I13" s="96"/>
    </row>
    <row r="14" spans="1:10" ht="14.5" customHeight="1" x14ac:dyDescent="0.35">
      <c r="A14" s="89" t="s">
        <v>137</v>
      </c>
      <c r="B14" s="89"/>
      <c r="C14" s="89"/>
      <c r="D14" s="89"/>
      <c r="E14" s="89"/>
      <c r="F14" s="89"/>
      <c r="G14" s="89"/>
      <c r="H14" s="89"/>
      <c r="I14" s="89"/>
    </row>
    <row r="15" spans="1:10" x14ac:dyDescent="0.35">
      <c r="A15" s="89"/>
      <c r="B15" s="89"/>
      <c r="C15" s="89"/>
      <c r="D15" s="89"/>
      <c r="E15" s="89"/>
      <c r="F15" s="89"/>
      <c r="G15" s="89"/>
      <c r="H15" s="89"/>
      <c r="I15" s="89"/>
    </row>
    <row r="16" spans="1:10" x14ac:dyDescent="0.35">
      <c r="A16" s="89"/>
      <c r="B16" s="89"/>
      <c r="C16" s="89"/>
      <c r="D16" s="89"/>
      <c r="E16" s="89"/>
      <c r="F16" s="89"/>
      <c r="G16" s="89"/>
      <c r="H16" s="89"/>
      <c r="I16" s="89"/>
    </row>
    <row r="17" spans="1:9" x14ac:dyDescent="0.35">
      <c r="A17" s="89"/>
      <c r="B17" s="89"/>
      <c r="C17" s="89"/>
      <c r="D17" s="89"/>
      <c r="E17" s="89"/>
      <c r="F17" s="89"/>
      <c r="G17" s="89"/>
      <c r="H17" s="89"/>
      <c r="I17" s="89"/>
    </row>
    <row r="18" spans="1:9" x14ac:dyDescent="0.35">
      <c r="A18" s="90" t="s">
        <v>135</v>
      </c>
      <c r="B18" s="91"/>
      <c r="C18" s="91"/>
      <c r="D18" s="91"/>
      <c r="E18" s="91"/>
      <c r="F18" s="91"/>
      <c r="G18" s="91"/>
      <c r="H18" s="91"/>
      <c r="I18" s="92"/>
    </row>
    <row r="19" spans="1:9" x14ac:dyDescent="0.35">
      <c r="A19" s="93"/>
      <c r="B19" s="94"/>
      <c r="C19" s="94"/>
      <c r="D19" s="94"/>
      <c r="E19" s="94"/>
      <c r="F19" s="94"/>
      <c r="G19" s="94"/>
      <c r="H19" s="94"/>
      <c r="I19" s="95"/>
    </row>
    <row r="20" spans="1:9" x14ac:dyDescent="0.35">
      <c r="A20" s="89" t="s">
        <v>136</v>
      </c>
      <c r="B20" s="89"/>
      <c r="C20" s="89"/>
      <c r="D20" s="89"/>
      <c r="E20" s="89"/>
      <c r="F20" s="89"/>
      <c r="G20" s="89"/>
      <c r="H20" s="89"/>
      <c r="I20" s="89"/>
    </row>
    <row r="21" spans="1:9" x14ac:dyDescent="0.35">
      <c r="A21" s="89"/>
      <c r="B21" s="89"/>
      <c r="C21" s="89"/>
      <c r="D21" s="89"/>
      <c r="E21" s="89"/>
      <c r="F21" s="89"/>
      <c r="G21" s="89"/>
      <c r="H21" s="89"/>
      <c r="I21" s="89"/>
    </row>
    <row r="22" spans="1:9" x14ac:dyDescent="0.35">
      <c r="A22" s="96" t="s">
        <v>138</v>
      </c>
      <c r="B22" s="96"/>
      <c r="C22" s="96"/>
      <c r="D22" s="96"/>
      <c r="E22" s="96"/>
      <c r="F22" s="96"/>
      <c r="G22" s="96"/>
      <c r="H22" s="96"/>
      <c r="I22" s="96"/>
    </row>
    <row r="23" spans="1:9" x14ac:dyDescent="0.35">
      <c r="A23" s="96"/>
      <c r="B23" s="96"/>
      <c r="C23" s="96"/>
      <c r="D23" s="96"/>
      <c r="E23" s="96"/>
      <c r="F23" s="96"/>
      <c r="G23" s="96"/>
      <c r="H23" s="96"/>
      <c r="I23" s="96"/>
    </row>
  </sheetData>
  <mergeCells count="8">
    <mergeCell ref="A14:I17"/>
    <mergeCell ref="A18:I19"/>
    <mergeCell ref="A20:I21"/>
    <mergeCell ref="A22:I23"/>
    <mergeCell ref="A1:C1"/>
    <mergeCell ref="A2:J7"/>
    <mergeCell ref="A9:I11"/>
    <mergeCell ref="A12:I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D41F-C522-4FBF-84E1-4B349EB3D500}">
  <dimension ref="A1:R56"/>
  <sheetViews>
    <sheetView topLeftCell="A2" zoomScale="54" zoomScaleNormal="100" workbookViewId="0">
      <selection activeCell="N29" sqref="N29"/>
    </sheetView>
  </sheetViews>
  <sheetFormatPr defaultRowHeight="14.5" x14ac:dyDescent="0.35"/>
  <cols>
    <col min="4" max="4" width="10.54296875" customWidth="1"/>
    <col min="5" max="5" width="10" customWidth="1"/>
    <col min="6" max="6" width="9.36328125" customWidth="1"/>
    <col min="7" max="7" width="16.7265625" customWidth="1"/>
    <col min="8" max="8" width="14.1796875" customWidth="1"/>
    <col min="9" max="9" width="10.453125" customWidth="1"/>
    <col min="11" max="11" width="18.7265625" bestFit="1" customWidth="1"/>
    <col min="12" max="13" width="11.81640625" bestFit="1" customWidth="1"/>
    <col min="14" max="14" width="16.453125" customWidth="1"/>
    <col min="15" max="15" width="11.81640625" bestFit="1" customWidth="1"/>
    <col min="16" max="16" width="10.81640625" bestFit="1" customWidth="1"/>
    <col min="17" max="18" width="11.81640625" bestFit="1" customWidth="1"/>
  </cols>
  <sheetData>
    <row r="1" spans="1:18" ht="16" x14ac:dyDescent="0.4">
      <c r="A1" s="67" t="s">
        <v>8</v>
      </c>
      <c r="B1" s="67" t="s">
        <v>9</v>
      </c>
      <c r="C1" s="67" t="s">
        <v>10</v>
      </c>
      <c r="D1" s="67" t="s">
        <v>11</v>
      </c>
      <c r="E1" s="67" t="s">
        <v>12</v>
      </c>
      <c r="F1" s="67" t="s">
        <v>13</v>
      </c>
      <c r="G1" s="67" t="s">
        <v>157</v>
      </c>
      <c r="H1" s="66"/>
      <c r="I1" s="69" t="s">
        <v>39</v>
      </c>
      <c r="J1" s="69" t="s">
        <v>40</v>
      </c>
      <c r="L1" s="74" t="s">
        <v>39</v>
      </c>
      <c r="M1" s="74" t="s">
        <v>40</v>
      </c>
      <c r="O1" s="18" t="s">
        <v>68</v>
      </c>
      <c r="P1" s="18" t="s">
        <v>69</v>
      </c>
      <c r="Q1" s="49" t="s">
        <v>70</v>
      </c>
      <c r="R1" s="18" t="s">
        <v>71</v>
      </c>
    </row>
    <row r="2" spans="1:18" ht="16" x14ac:dyDescent="0.4">
      <c r="A2" s="68">
        <v>19</v>
      </c>
      <c r="B2" s="68" t="s">
        <v>0</v>
      </c>
      <c r="C2" s="68">
        <v>27.9</v>
      </c>
      <c r="D2" s="68">
        <v>0</v>
      </c>
      <c r="E2" s="68" t="s">
        <v>1</v>
      </c>
      <c r="F2" s="68" t="s">
        <v>2</v>
      </c>
      <c r="G2" s="87">
        <v>16884.919999999998</v>
      </c>
      <c r="I2" s="68">
        <v>1725.5523000000001</v>
      </c>
      <c r="J2" s="68">
        <v>16884.919999999998</v>
      </c>
      <c r="K2" s="72" t="s">
        <v>28</v>
      </c>
      <c r="L2" s="61">
        <f>AVERAGE(I2:I30)</f>
        <v>17189.360215517238</v>
      </c>
      <c r="M2" s="61">
        <f>AVERAGE(J2:J27)</f>
        <v>10800.930291153847</v>
      </c>
      <c r="O2" s="68">
        <v>16884.919999999998</v>
      </c>
      <c r="P2" s="68">
        <v>1725.5523000000001</v>
      </c>
      <c r="Q2" s="68">
        <v>21984.47061</v>
      </c>
      <c r="R2" s="68">
        <v>6406.4107000000004</v>
      </c>
    </row>
    <row r="3" spans="1:18" ht="16" x14ac:dyDescent="0.4">
      <c r="A3" s="60">
        <v>18</v>
      </c>
      <c r="B3" s="60" t="s">
        <v>3</v>
      </c>
      <c r="C3" s="60">
        <v>33.770000000000003</v>
      </c>
      <c r="D3" s="60">
        <v>1</v>
      </c>
      <c r="E3" s="60" t="s">
        <v>4</v>
      </c>
      <c r="F3" s="60" t="s">
        <v>5</v>
      </c>
      <c r="G3" s="88">
        <v>1725.5523000000001</v>
      </c>
      <c r="I3" s="68">
        <v>4449.4620000000004</v>
      </c>
      <c r="J3" s="70">
        <v>3756.6215999999999</v>
      </c>
      <c r="K3" s="72" t="s">
        <v>21</v>
      </c>
      <c r="L3" s="61">
        <f>_xlfn.STDEV.S(I2:I30)</f>
        <v>17167.478788140616</v>
      </c>
      <c r="M3" s="61">
        <f>_xlfn.STDEV.S(J2:J27)</f>
        <v>8980.0490833575768</v>
      </c>
      <c r="O3" s="68">
        <v>1826.8430000000001</v>
      </c>
      <c r="P3" s="68">
        <v>4449.4620000000004</v>
      </c>
      <c r="Q3" s="68">
        <v>3866.8552</v>
      </c>
      <c r="R3" s="68">
        <v>2721.3208</v>
      </c>
    </row>
    <row r="4" spans="1:18" ht="16" x14ac:dyDescent="0.4">
      <c r="A4" s="68">
        <v>28</v>
      </c>
      <c r="B4" s="68" t="s">
        <v>3</v>
      </c>
      <c r="C4" s="68">
        <v>33</v>
      </c>
      <c r="D4" s="68">
        <v>3</v>
      </c>
      <c r="E4" s="68" t="s">
        <v>4</v>
      </c>
      <c r="F4" s="68" t="s">
        <v>5</v>
      </c>
      <c r="G4" s="87">
        <v>4449.4620000000004</v>
      </c>
      <c r="I4" s="68">
        <v>21984.47061</v>
      </c>
      <c r="J4" s="68">
        <v>8240.5895999999993</v>
      </c>
      <c r="K4" s="71" t="s">
        <v>119</v>
      </c>
      <c r="L4" s="73">
        <f>_xlfn.VAR.S(I2:I30)</f>
        <v>294722327.94125795</v>
      </c>
      <c r="O4" s="68">
        <v>1837.2370000000001</v>
      </c>
      <c r="P4" s="68">
        <v>3756.6215999999999</v>
      </c>
      <c r="Q4" s="68">
        <v>7281.5056000000004</v>
      </c>
      <c r="R4" s="68">
        <v>10797.3362</v>
      </c>
    </row>
    <row r="5" spans="1:18" ht="16" x14ac:dyDescent="0.4">
      <c r="A5" s="60">
        <v>33</v>
      </c>
      <c r="B5" s="60" t="s">
        <v>3</v>
      </c>
      <c r="C5" s="60">
        <v>22.704999999999998</v>
      </c>
      <c r="D5" s="60">
        <v>0</v>
      </c>
      <c r="E5" s="60" t="s">
        <v>4</v>
      </c>
      <c r="F5" s="60" t="s">
        <v>6</v>
      </c>
      <c r="G5" s="88">
        <v>21984.47061</v>
      </c>
      <c r="I5" s="68">
        <v>3866.8552</v>
      </c>
      <c r="J5" s="70">
        <v>7281.5056000000004</v>
      </c>
      <c r="K5" s="71" t="s">
        <v>120</v>
      </c>
      <c r="L5" s="61">
        <f>_xlfn.VAR.S(J2:J27)</f>
        <v>80641281.539511263</v>
      </c>
      <c r="O5" s="68">
        <v>10602.385</v>
      </c>
      <c r="P5" s="68">
        <v>8240.5895999999993</v>
      </c>
      <c r="Q5" s="70">
        <v>28923.136920000001</v>
      </c>
      <c r="R5" s="70">
        <v>2395.17155</v>
      </c>
    </row>
    <row r="6" spans="1:18" x14ac:dyDescent="0.35">
      <c r="A6" s="68">
        <v>32</v>
      </c>
      <c r="B6" s="68" t="s">
        <v>3</v>
      </c>
      <c r="C6" s="68">
        <v>28.88</v>
      </c>
      <c r="D6" s="68">
        <v>0</v>
      </c>
      <c r="E6" s="68" t="s">
        <v>4</v>
      </c>
      <c r="F6" s="68" t="s">
        <v>6</v>
      </c>
      <c r="G6" s="87">
        <v>3866.8552</v>
      </c>
      <c r="I6" s="68">
        <v>6406.4107000000004</v>
      </c>
      <c r="J6" s="68">
        <v>28923.136920000001</v>
      </c>
      <c r="O6" s="68">
        <v>36837.466999999997</v>
      </c>
      <c r="P6" s="68">
        <v>27808.7251</v>
      </c>
      <c r="Q6" s="68">
        <v>6203.90175</v>
      </c>
      <c r="R6" s="68">
        <v>13228.846949999999</v>
      </c>
    </row>
    <row r="7" spans="1:18" x14ac:dyDescent="0.35">
      <c r="A7" s="60">
        <v>31</v>
      </c>
      <c r="B7" s="60" t="s">
        <v>0</v>
      </c>
      <c r="C7" s="60">
        <v>25.74</v>
      </c>
      <c r="D7" s="60">
        <v>0</v>
      </c>
      <c r="E7" s="60" t="s">
        <v>4</v>
      </c>
      <c r="F7" s="60" t="s">
        <v>5</v>
      </c>
      <c r="G7" s="88">
        <v>3756.6215999999999</v>
      </c>
      <c r="I7" s="68">
        <v>2721.3208</v>
      </c>
      <c r="J7" s="70">
        <v>27808.7251</v>
      </c>
      <c r="O7" s="68">
        <v>4149.7359999999999</v>
      </c>
      <c r="P7" s="70">
        <v>11090.7178</v>
      </c>
      <c r="Q7" s="70">
        <v>12268.632250000001</v>
      </c>
      <c r="R7" s="70">
        <v>37701.876799999998</v>
      </c>
    </row>
    <row r="8" spans="1:18" x14ac:dyDescent="0.35">
      <c r="A8" s="68">
        <v>46</v>
      </c>
      <c r="B8" s="68" t="s">
        <v>0</v>
      </c>
      <c r="C8" s="68">
        <v>33.44</v>
      </c>
      <c r="D8" s="68">
        <v>1</v>
      </c>
      <c r="E8" s="68" t="s">
        <v>4</v>
      </c>
      <c r="F8" s="68" t="s">
        <v>5</v>
      </c>
      <c r="G8" s="87">
        <v>8240.5895999999993</v>
      </c>
      <c r="I8" s="68">
        <v>1826.8430000000001</v>
      </c>
      <c r="J8" s="68">
        <v>11090.7178</v>
      </c>
      <c r="O8" s="68">
        <v>38711</v>
      </c>
      <c r="P8" s="68">
        <v>39611.757700000002</v>
      </c>
      <c r="Q8" s="68">
        <v>2775.1921499999999</v>
      </c>
      <c r="R8" s="68">
        <v>14451.835150000001</v>
      </c>
    </row>
    <row r="9" spans="1:18" x14ac:dyDescent="0.35">
      <c r="A9" s="60">
        <v>37</v>
      </c>
      <c r="B9" s="60" t="s">
        <v>0</v>
      </c>
      <c r="C9" s="60">
        <v>27.74</v>
      </c>
      <c r="D9" s="60">
        <v>3</v>
      </c>
      <c r="E9" s="60" t="s">
        <v>4</v>
      </c>
      <c r="F9" s="60" t="s">
        <v>6</v>
      </c>
      <c r="G9" s="88">
        <v>7281.5056000000004</v>
      </c>
      <c r="I9" s="68">
        <v>39611.757700000002</v>
      </c>
      <c r="J9" s="68">
        <v>10797.3362</v>
      </c>
      <c r="O9" s="68">
        <v>35585.576000000001</v>
      </c>
      <c r="P9" s="68">
        <v>1137.011</v>
      </c>
      <c r="Q9" s="70">
        <v>13770.097900000001</v>
      </c>
      <c r="R9" s="70">
        <v>2198.1898500000002</v>
      </c>
    </row>
    <row r="10" spans="1:18" x14ac:dyDescent="0.35">
      <c r="A10" s="68">
        <v>37</v>
      </c>
      <c r="B10" s="68" t="s">
        <v>3</v>
      </c>
      <c r="C10" s="68">
        <v>29.83</v>
      </c>
      <c r="D10" s="68">
        <v>2</v>
      </c>
      <c r="E10" s="68" t="s">
        <v>4</v>
      </c>
      <c r="F10" s="68" t="s">
        <v>7</v>
      </c>
      <c r="G10" s="87">
        <v>6406.4107000000004</v>
      </c>
      <c r="I10" s="68">
        <v>1837.2370000000001</v>
      </c>
      <c r="J10" s="68">
        <v>13228.846949999999</v>
      </c>
      <c r="O10" s="68">
        <v>4687.7969999999996</v>
      </c>
      <c r="P10" s="68">
        <v>14001.1338</v>
      </c>
      <c r="Q10" s="68">
        <v>1625.4337499999999</v>
      </c>
      <c r="R10" s="68">
        <v>39774.276299999998</v>
      </c>
    </row>
    <row r="11" spans="1:18" x14ac:dyDescent="0.35">
      <c r="A11" s="60">
        <v>60</v>
      </c>
      <c r="B11" s="60" t="s">
        <v>0</v>
      </c>
      <c r="C11" s="60">
        <v>25.84</v>
      </c>
      <c r="D11" s="60">
        <v>0</v>
      </c>
      <c r="E11" s="60" t="s">
        <v>4</v>
      </c>
      <c r="F11" s="60" t="s">
        <v>6</v>
      </c>
      <c r="G11" s="88">
        <v>28923.136920000001</v>
      </c>
      <c r="I11" s="70">
        <v>2395.17155</v>
      </c>
      <c r="J11" s="70">
        <v>4149.7359999999999</v>
      </c>
      <c r="O11" s="68">
        <v>51194.559139999998</v>
      </c>
      <c r="P11" s="70">
        <v>4949.7587000000003</v>
      </c>
      <c r="Q11" s="68">
        <v>15612.19335</v>
      </c>
      <c r="R11" s="68">
        <v>3046.0619999999999</v>
      </c>
    </row>
    <row r="12" spans="1:18" x14ac:dyDescent="0.35">
      <c r="A12" s="68">
        <v>25</v>
      </c>
      <c r="B12" s="68" t="s">
        <v>3</v>
      </c>
      <c r="C12" s="68">
        <v>26.22</v>
      </c>
      <c r="D12" s="68">
        <v>0</v>
      </c>
      <c r="E12" s="68" t="s">
        <v>4</v>
      </c>
      <c r="F12" s="68" t="s">
        <v>7</v>
      </c>
      <c r="G12" s="87">
        <v>2721.3208</v>
      </c>
      <c r="I12" s="68">
        <v>10602.385</v>
      </c>
      <c r="J12" s="68">
        <v>37701.876799999998</v>
      </c>
      <c r="O12" s="68">
        <v>2302.3000000000002</v>
      </c>
      <c r="P12" s="68">
        <v>6272.4772000000003</v>
      </c>
      <c r="Q12" s="68">
        <v>3556.9223000000002</v>
      </c>
      <c r="R12" s="68">
        <v>6079.6715000000004</v>
      </c>
    </row>
    <row r="13" spans="1:18" x14ac:dyDescent="0.35">
      <c r="A13" s="60">
        <v>62</v>
      </c>
      <c r="B13" s="60" t="s">
        <v>0</v>
      </c>
      <c r="C13" s="60">
        <v>26.29</v>
      </c>
      <c r="D13" s="60">
        <v>0</v>
      </c>
      <c r="E13" s="60" t="s">
        <v>1</v>
      </c>
      <c r="F13" s="60" t="s">
        <v>5</v>
      </c>
      <c r="G13" s="88">
        <v>27808.7251</v>
      </c>
      <c r="I13" s="70">
        <v>36837.466999999997</v>
      </c>
      <c r="J13" s="70">
        <v>14001.1338</v>
      </c>
      <c r="O13" s="68">
        <v>48173.360999999997</v>
      </c>
      <c r="P13" s="70">
        <v>6313.759</v>
      </c>
      <c r="Q13" s="70">
        <v>3579.8287</v>
      </c>
      <c r="R13" s="68">
        <v>3393.35635</v>
      </c>
    </row>
    <row r="14" spans="1:18" x14ac:dyDescent="0.35">
      <c r="A14" s="68">
        <v>23</v>
      </c>
      <c r="B14" s="68" t="s">
        <v>3</v>
      </c>
      <c r="C14" s="68">
        <v>34.4</v>
      </c>
      <c r="D14" s="68">
        <v>0</v>
      </c>
      <c r="E14" s="68" t="s">
        <v>4</v>
      </c>
      <c r="F14" s="68" t="s">
        <v>2</v>
      </c>
      <c r="G14" s="87">
        <v>1826.8430000000001</v>
      </c>
      <c r="I14" s="68">
        <v>1137.011</v>
      </c>
      <c r="J14" s="68">
        <v>14451.835150000001</v>
      </c>
      <c r="O14" s="68">
        <v>10601.632</v>
      </c>
      <c r="P14" s="68">
        <v>12629.896699999999</v>
      </c>
      <c r="Q14" s="68">
        <v>8059.6791000000003</v>
      </c>
      <c r="R14" s="68">
        <v>2211.1307499999998</v>
      </c>
    </row>
    <row r="15" spans="1:18" x14ac:dyDescent="0.35">
      <c r="A15" s="60">
        <v>56</v>
      </c>
      <c r="B15" s="60" t="s">
        <v>0</v>
      </c>
      <c r="C15" s="60">
        <v>39.82</v>
      </c>
      <c r="D15" s="60">
        <v>0</v>
      </c>
      <c r="E15" s="60" t="s">
        <v>4</v>
      </c>
      <c r="F15" s="60" t="s">
        <v>5</v>
      </c>
      <c r="G15" s="88">
        <v>11090.7178</v>
      </c>
      <c r="I15" s="68">
        <v>6203.90175</v>
      </c>
      <c r="J15" s="70">
        <v>12268.632250000001</v>
      </c>
      <c r="O15" s="68">
        <v>23568.272000000001</v>
      </c>
      <c r="P15" s="70">
        <v>38709.175999999999</v>
      </c>
      <c r="Q15" s="59"/>
      <c r="R15" s="59"/>
    </row>
    <row r="16" spans="1:18" x14ac:dyDescent="0.35">
      <c r="A16" s="68">
        <v>27</v>
      </c>
      <c r="B16" s="68" t="s">
        <v>3</v>
      </c>
      <c r="C16" s="68">
        <v>42.13</v>
      </c>
      <c r="D16" s="68">
        <v>0</v>
      </c>
      <c r="E16" s="68" t="s">
        <v>1</v>
      </c>
      <c r="F16" s="68" t="s">
        <v>5</v>
      </c>
      <c r="G16" s="87">
        <v>39611.757700000002</v>
      </c>
      <c r="I16" s="68">
        <v>2775.1921499999999</v>
      </c>
      <c r="J16" s="68">
        <v>2198.1898500000002</v>
      </c>
      <c r="O16" s="59"/>
      <c r="P16" s="68">
        <v>37742.575700000001</v>
      </c>
      <c r="Q16" s="59"/>
      <c r="R16" s="59"/>
    </row>
    <row r="17" spans="1:10" x14ac:dyDescent="0.35">
      <c r="A17" s="60">
        <v>19</v>
      </c>
      <c r="B17" s="60" t="s">
        <v>3</v>
      </c>
      <c r="C17" s="60">
        <v>24.6</v>
      </c>
      <c r="D17" s="60">
        <v>1</v>
      </c>
      <c r="E17" s="60" t="s">
        <v>4</v>
      </c>
      <c r="F17" s="60" t="s">
        <v>2</v>
      </c>
      <c r="G17" s="88">
        <v>1837.2370000000001</v>
      </c>
      <c r="I17" s="70">
        <v>38711</v>
      </c>
      <c r="J17" s="68">
        <v>4687.7969999999996</v>
      </c>
    </row>
    <row r="18" spans="1:10" x14ac:dyDescent="0.35">
      <c r="A18" s="68">
        <v>52</v>
      </c>
      <c r="B18" s="68" t="s">
        <v>0</v>
      </c>
      <c r="C18" s="68">
        <v>30.78</v>
      </c>
      <c r="D18" s="68">
        <v>1</v>
      </c>
      <c r="E18" s="68" t="s">
        <v>4</v>
      </c>
      <c r="F18" s="68" t="s">
        <v>7</v>
      </c>
      <c r="G18" s="87">
        <v>10797.3362</v>
      </c>
      <c r="I18" s="68">
        <v>35585.576000000001</v>
      </c>
      <c r="J18" s="68">
        <v>15612.19335</v>
      </c>
    </row>
    <row r="19" spans="1:10" x14ac:dyDescent="0.35">
      <c r="A19" s="60">
        <v>23</v>
      </c>
      <c r="B19" s="60" t="s">
        <v>3</v>
      </c>
      <c r="C19" s="60">
        <v>23.844999999999999</v>
      </c>
      <c r="D19" s="60">
        <v>0</v>
      </c>
      <c r="E19" s="60" t="s">
        <v>4</v>
      </c>
      <c r="F19" s="60" t="s">
        <v>7</v>
      </c>
      <c r="G19" s="88">
        <v>2395.17155</v>
      </c>
      <c r="I19" s="70">
        <v>13770.097900000001</v>
      </c>
      <c r="J19" s="68">
        <v>3046.0619999999999</v>
      </c>
    </row>
    <row r="20" spans="1:10" x14ac:dyDescent="0.35">
      <c r="A20" s="68">
        <v>56</v>
      </c>
      <c r="B20" s="68" t="s">
        <v>3</v>
      </c>
      <c r="C20" s="68">
        <v>40.299999999999997</v>
      </c>
      <c r="D20" s="68">
        <v>0</v>
      </c>
      <c r="E20" s="68" t="s">
        <v>4</v>
      </c>
      <c r="F20" s="68" t="s">
        <v>2</v>
      </c>
      <c r="G20" s="87">
        <v>10602.385</v>
      </c>
      <c r="I20" s="68">
        <v>51194.559139999998</v>
      </c>
      <c r="J20" s="68">
        <v>4949.7587000000003</v>
      </c>
    </row>
    <row r="21" spans="1:10" x14ac:dyDescent="0.35">
      <c r="A21" s="60">
        <v>30</v>
      </c>
      <c r="B21" s="60" t="s">
        <v>3</v>
      </c>
      <c r="C21" s="60">
        <v>35.299999999999997</v>
      </c>
      <c r="D21" s="60">
        <v>0</v>
      </c>
      <c r="E21" s="60" t="s">
        <v>1</v>
      </c>
      <c r="F21" s="60" t="s">
        <v>2</v>
      </c>
      <c r="G21" s="88">
        <v>36837.466999999997</v>
      </c>
      <c r="I21" s="70">
        <v>1625.4337499999999</v>
      </c>
      <c r="J21" s="70">
        <v>6313.759</v>
      </c>
    </row>
    <row r="22" spans="1:10" x14ac:dyDescent="0.35">
      <c r="A22" s="68">
        <v>60</v>
      </c>
      <c r="B22" s="68" t="s">
        <v>0</v>
      </c>
      <c r="C22" s="68">
        <v>36.005000000000003</v>
      </c>
      <c r="D22" s="68">
        <v>0</v>
      </c>
      <c r="E22" s="68" t="s">
        <v>4</v>
      </c>
      <c r="F22" s="68" t="s">
        <v>7</v>
      </c>
      <c r="G22" s="87">
        <v>13228.846949999999</v>
      </c>
      <c r="I22" s="68">
        <v>2302.3000000000002</v>
      </c>
      <c r="J22" s="68">
        <v>3393.35635</v>
      </c>
    </row>
    <row r="23" spans="1:10" x14ac:dyDescent="0.35">
      <c r="A23" s="60">
        <v>30</v>
      </c>
      <c r="B23" s="60" t="s">
        <v>0</v>
      </c>
      <c r="C23" s="60">
        <v>32.4</v>
      </c>
      <c r="D23" s="60">
        <v>1</v>
      </c>
      <c r="E23" s="60" t="s">
        <v>4</v>
      </c>
      <c r="F23" s="60" t="s">
        <v>2</v>
      </c>
      <c r="G23" s="88">
        <v>4149.7359999999999</v>
      </c>
      <c r="I23" s="68">
        <v>39774.276299999998</v>
      </c>
      <c r="J23" s="70">
        <v>3556.9223000000002</v>
      </c>
    </row>
    <row r="24" spans="1:10" x14ac:dyDescent="0.35">
      <c r="A24" s="68">
        <v>18</v>
      </c>
      <c r="B24" s="68" t="s">
        <v>3</v>
      </c>
      <c r="C24" s="68">
        <v>34.1</v>
      </c>
      <c r="D24" s="68">
        <v>0</v>
      </c>
      <c r="E24" s="68" t="s">
        <v>4</v>
      </c>
      <c r="F24" s="68" t="s">
        <v>5</v>
      </c>
      <c r="G24" s="87">
        <v>1137.011</v>
      </c>
      <c r="I24" s="68">
        <v>48173.360999999997</v>
      </c>
      <c r="J24" s="68">
        <v>12629.896699999999</v>
      </c>
    </row>
    <row r="25" spans="1:10" x14ac:dyDescent="0.35">
      <c r="A25" s="60">
        <v>34</v>
      </c>
      <c r="B25" s="60" t="s">
        <v>0</v>
      </c>
      <c r="C25" s="60">
        <v>31.92</v>
      </c>
      <c r="D25" s="60">
        <v>1</v>
      </c>
      <c r="E25" s="60" t="s">
        <v>1</v>
      </c>
      <c r="F25" s="60" t="s">
        <v>7</v>
      </c>
      <c r="G25" s="88">
        <v>37701.876799999998</v>
      </c>
      <c r="I25" s="68">
        <v>6272.4772000000003</v>
      </c>
      <c r="J25" s="68">
        <v>2211.1307499999998</v>
      </c>
    </row>
    <row r="26" spans="1:10" x14ac:dyDescent="0.35">
      <c r="A26" s="68">
        <v>37</v>
      </c>
      <c r="B26" s="68" t="s">
        <v>3</v>
      </c>
      <c r="C26" s="68">
        <v>28.024999999999999</v>
      </c>
      <c r="D26" s="68">
        <v>2</v>
      </c>
      <c r="E26" s="68" t="s">
        <v>4</v>
      </c>
      <c r="F26" s="68" t="s">
        <v>6</v>
      </c>
      <c r="G26" s="87">
        <v>6203.90175</v>
      </c>
      <c r="I26" s="68">
        <v>6079.6715000000004</v>
      </c>
      <c r="J26" s="68">
        <v>3579.8287</v>
      </c>
    </row>
    <row r="27" spans="1:10" x14ac:dyDescent="0.35">
      <c r="A27" s="60">
        <v>59</v>
      </c>
      <c r="B27" s="60" t="s">
        <v>0</v>
      </c>
      <c r="C27" s="60">
        <v>27.72</v>
      </c>
      <c r="D27" s="60">
        <v>3</v>
      </c>
      <c r="E27" s="60" t="s">
        <v>4</v>
      </c>
      <c r="F27" s="60" t="s">
        <v>5</v>
      </c>
      <c r="G27" s="88">
        <v>14001.1338</v>
      </c>
      <c r="I27" s="70">
        <v>10601.632</v>
      </c>
      <c r="J27" s="68">
        <v>8059.6791000000003</v>
      </c>
    </row>
    <row r="28" spans="1:10" x14ac:dyDescent="0.35">
      <c r="A28" s="68">
        <v>63</v>
      </c>
      <c r="B28" s="68" t="s">
        <v>0</v>
      </c>
      <c r="C28" s="68">
        <v>23.085000000000001</v>
      </c>
      <c r="D28" s="68">
        <v>0</v>
      </c>
      <c r="E28" s="68" t="s">
        <v>4</v>
      </c>
      <c r="F28" s="68" t="s">
        <v>7</v>
      </c>
      <c r="G28" s="87">
        <v>14451.835150000001</v>
      </c>
      <c r="I28" s="68">
        <v>38709.175999999999</v>
      </c>
      <c r="J28" s="59"/>
    </row>
    <row r="29" spans="1:10" x14ac:dyDescent="0.35">
      <c r="A29" s="60">
        <v>55</v>
      </c>
      <c r="B29" s="60" t="s">
        <v>0</v>
      </c>
      <c r="C29" s="60">
        <v>32.774999999999999</v>
      </c>
      <c r="D29" s="60">
        <v>2</v>
      </c>
      <c r="E29" s="60" t="s">
        <v>4</v>
      </c>
      <c r="F29" s="60" t="s">
        <v>6</v>
      </c>
      <c r="G29" s="88">
        <v>12268.632250000001</v>
      </c>
      <c r="I29" s="68">
        <v>23568.272000000001</v>
      </c>
      <c r="J29" s="59"/>
    </row>
    <row r="30" spans="1:10" x14ac:dyDescent="0.35">
      <c r="A30" s="68">
        <v>23</v>
      </c>
      <c r="B30" s="68" t="s">
        <v>3</v>
      </c>
      <c r="C30" s="68">
        <v>17.385000000000002</v>
      </c>
      <c r="D30" s="68">
        <v>1</v>
      </c>
      <c r="E30" s="68" t="s">
        <v>4</v>
      </c>
      <c r="F30" s="68" t="s">
        <v>6</v>
      </c>
      <c r="G30" s="87">
        <v>2775.1921499999999</v>
      </c>
      <c r="I30" s="68">
        <v>37742.575700000001</v>
      </c>
      <c r="J30" s="59"/>
    </row>
    <row r="31" spans="1:10" x14ac:dyDescent="0.35">
      <c r="A31" s="60">
        <v>31</v>
      </c>
      <c r="B31" s="60" t="s">
        <v>3</v>
      </c>
      <c r="C31" s="60">
        <v>36.299999999999997</v>
      </c>
      <c r="D31" s="60">
        <v>2</v>
      </c>
      <c r="E31" s="60" t="s">
        <v>1</v>
      </c>
      <c r="F31" s="60" t="s">
        <v>2</v>
      </c>
      <c r="G31" s="88">
        <v>38711</v>
      </c>
    </row>
    <row r="32" spans="1:10" x14ac:dyDescent="0.35">
      <c r="A32" s="68">
        <v>22</v>
      </c>
      <c r="B32" s="68" t="s">
        <v>3</v>
      </c>
      <c r="C32" s="68">
        <v>35.6</v>
      </c>
      <c r="D32" s="68">
        <v>0</v>
      </c>
      <c r="E32" s="68" t="s">
        <v>1</v>
      </c>
      <c r="F32" s="68" t="s">
        <v>2</v>
      </c>
      <c r="G32" s="87">
        <v>35585.576000000001</v>
      </c>
    </row>
    <row r="33" spans="1:13" x14ac:dyDescent="0.35">
      <c r="A33" s="60">
        <v>18</v>
      </c>
      <c r="B33" s="60" t="s">
        <v>0</v>
      </c>
      <c r="C33" s="60">
        <v>26.315000000000001</v>
      </c>
      <c r="D33" s="60">
        <v>0</v>
      </c>
      <c r="E33" s="60" t="s">
        <v>4</v>
      </c>
      <c r="F33" s="60" t="s">
        <v>7</v>
      </c>
      <c r="G33" s="88">
        <v>2198.1898500000002</v>
      </c>
    </row>
    <row r="34" spans="1:13" x14ac:dyDescent="0.35">
      <c r="A34" s="68">
        <v>19</v>
      </c>
      <c r="B34" s="68" t="s">
        <v>0</v>
      </c>
      <c r="C34" s="68">
        <v>28.6</v>
      </c>
      <c r="D34" s="68">
        <v>5</v>
      </c>
      <c r="E34" s="68" t="s">
        <v>4</v>
      </c>
      <c r="F34" s="68" t="s">
        <v>2</v>
      </c>
      <c r="G34" s="87">
        <v>4687.7969999999996</v>
      </c>
      <c r="M34" s="25"/>
    </row>
    <row r="35" spans="1:13" x14ac:dyDescent="0.35">
      <c r="A35" s="60">
        <v>63</v>
      </c>
      <c r="B35" s="60" t="s">
        <v>3</v>
      </c>
      <c r="C35" s="60">
        <v>28.31</v>
      </c>
      <c r="D35" s="60">
        <v>0</v>
      </c>
      <c r="E35" s="60" t="s">
        <v>4</v>
      </c>
      <c r="F35" s="60" t="s">
        <v>6</v>
      </c>
      <c r="G35" s="88">
        <v>13770.097900000001</v>
      </c>
      <c r="M35" s="25"/>
    </row>
    <row r="36" spans="1:13" x14ac:dyDescent="0.35">
      <c r="A36" s="68">
        <v>28</v>
      </c>
      <c r="B36" s="68" t="s">
        <v>3</v>
      </c>
      <c r="C36" s="68">
        <v>36.4</v>
      </c>
      <c r="D36" s="68">
        <v>1</v>
      </c>
      <c r="E36" s="68" t="s">
        <v>1</v>
      </c>
      <c r="F36" s="68" t="s">
        <v>2</v>
      </c>
      <c r="G36" s="87">
        <v>51194.559139999998</v>
      </c>
    </row>
    <row r="37" spans="1:13" x14ac:dyDescent="0.35">
      <c r="A37" s="60">
        <v>19</v>
      </c>
      <c r="B37" s="60" t="s">
        <v>3</v>
      </c>
      <c r="C37" s="60">
        <v>20.425000000000001</v>
      </c>
      <c r="D37" s="60">
        <v>0</v>
      </c>
      <c r="E37" s="60" t="s">
        <v>4</v>
      </c>
      <c r="F37" s="60" t="s">
        <v>6</v>
      </c>
      <c r="G37" s="88">
        <v>1625.4337499999999</v>
      </c>
    </row>
    <row r="38" spans="1:13" x14ac:dyDescent="0.35">
      <c r="A38" s="68">
        <v>62</v>
      </c>
      <c r="B38" s="68" t="s">
        <v>0</v>
      </c>
      <c r="C38" s="68">
        <v>32.965000000000003</v>
      </c>
      <c r="D38" s="68">
        <v>3</v>
      </c>
      <c r="E38" s="68" t="s">
        <v>4</v>
      </c>
      <c r="F38" s="68" t="s">
        <v>6</v>
      </c>
      <c r="G38" s="87">
        <v>15612.19335</v>
      </c>
    </row>
    <row r="39" spans="1:13" x14ac:dyDescent="0.35">
      <c r="A39" s="60">
        <v>26</v>
      </c>
      <c r="B39" s="60" t="s">
        <v>3</v>
      </c>
      <c r="C39" s="60">
        <v>20.8</v>
      </c>
      <c r="D39" s="60">
        <v>0</v>
      </c>
      <c r="E39" s="60" t="s">
        <v>4</v>
      </c>
      <c r="F39" s="60" t="s">
        <v>2</v>
      </c>
      <c r="G39" s="88">
        <v>2302.3000000000002</v>
      </c>
    </row>
    <row r="40" spans="1:13" x14ac:dyDescent="0.35">
      <c r="A40" s="68">
        <v>35</v>
      </c>
      <c r="B40" s="68" t="s">
        <v>3</v>
      </c>
      <c r="C40" s="68">
        <v>36.67</v>
      </c>
      <c r="D40" s="68">
        <v>1</v>
      </c>
      <c r="E40" s="68" t="s">
        <v>1</v>
      </c>
      <c r="F40" s="68" t="s">
        <v>7</v>
      </c>
      <c r="G40" s="87">
        <v>39774.276299999998</v>
      </c>
    </row>
    <row r="41" spans="1:13" x14ac:dyDescent="0.35">
      <c r="A41" s="60">
        <v>60</v>
      </c>
      <c r="B41" s="60" t="s">
        <v>3</v>
      </c>
      <c r="C41" s="60">
        <v>39.9</v>
      </c>
      <c r="D41" s="60">
        <v>0</v>
      </c>
      <c r="E41" s="60" t="s">
        <v>1</v>
      </c>
      <c r="F41" s="60" t="s">
        <v>2</v>
      </c>
      <c r="G41" s="88">
        <v>48173.360999999997</v>
      </c>
    </row>
    <row r="42" spans="1:13" x14ac:dyDescent="0.35">
      <c r="A42" s="68">
        <v>24</v>
      </c>
      <c r="B42" s="68" t="s">
        <v>0</v>
      </c>
      <c r="C42" s="68">
        <v>26.6</v>
      </c>
      <c r="D42" s="68">
        <v>0</v>
      </c>
      <c r="E42" s="68" t="s">
        <v>4</v>
      </c>
      <c r="F42" s="68" t="s">
        <v>7</v>
      </c>
      <c r="G42" s="87">
        <v>3046.0619999999999</v>
      </c>
    </row>
    <row r="43" spans="1:13" x14ac:dyDescent="0.35">
      <c r="A43" s="60">
        <v>31</v>
      </c>
      <c r="B43" s="60" t="s">
        <v>0</v>
      </c>
      <c r="C43" s="60">
        <v>36.630000000000003</v>
      </c>
      <c r="D43" s="60">
        <v>2</v>
      </c>
      <c r="E43" s="60" t="s">
        <v>4</v>
      </c>
      <c r="F43" s="60" t="s">
        <v>5</v>
      </c>
      <c r="G43" s="88">
        <v>4949.7587000000003</v>
      </c>
    </row>
    <row r="44" spans="1:13" x14ac:dyDescent="0.35">
      <c r="A44" s="68">
        <v>41</v>
      </c>
      <c r="B44" s="68" t="s">
        <v>3</v>
      </c>
      <c r="C44" s="68">
        <v>21.78</v>
      </c>
      <c r="D44" s="68">
        <v>1</v>
      </c>
      <c r="E44" s="68" t="s">
        <v>4</v>
      </c>
      <c r="F44" s="68" t="s">
        <v>5</v>
      </c>
      <c r="G44" s="87">
        <v>6272.4772000000003</v>
      </c>
    </row>
    <row r="45" spans="1:13" x14ac:dyDescent="0.35">
      <c r="A45" s="60">
        <v>37</v>
      </c>
      <c r="B45" s="60" t="s">
        <v>0</v>
      </c>
      <c r="C45" s="60">
        <v>30.8</v>
      </c>
      <c r="D45" s="60">
        <v>2</v>
      </c>
      <c r="E45" s="60" t="s">
        <v>4</v>
      </c>
      <c r="F45" s="60" t="s">
        <v>5</v>
      </c>
      <c r="G45" s="88">
        <v>6313.759</v>
      </c>
    </row>
    <row r="46" spans="1:13" x14ac:dyDescent="0.35">
      <c r="A46" s="68">
        <v>38</v>
      </c>
      <c r="B46" s="68" t="s">
        <v>3</v>
      </c>
      <c r="C46" s="68">
        <v>37.049999999999997</v>
      </c>
      <c r="D46" s="68">
        <v>1</v>
      </c>
      <c r="E46" s="68" t="s">
        <v>4</v>
      </c>
      <c r="F46" s="68" t="s">
        <v>7</v>
      </c>
      <c r="G46" s="87">
        <v>6079.6715000000004</v>
      </c>
    </row>
    <row r="47" spans="1:13" x14ac:dyDescent="0.35">
      <c r="A47" s="60">
        <v>55</v>
      </c>
      <c r="B47" s="60" t="s">
        <v>3</v>
      </c>
      <c r="C47" s="60">
        <v>37.299999999999997</v>
      </c>
      <c r="D47" s="60">
        <v>0</v>
      </c>
      <c r="E47" s="60" t="s">
        <v>4</v>
      </c>
      <c r="F47" s="60" t="s">
        <v>2</v>
      </c>
      <c r="G47" s="88">
        <v>10601.632</v>
      </c>
    </row>
    <row r="48" spans="1:13" x14ac:dyDescent="0.35">
      <c r="A48" s="68">
        <v>18</v>
      </c>
      <c r="B48" s="68" t="s">
        <v>0</v>
      </c>
      <c r="C48" s="68">
        <v>38.664999999999999</v>
      </c>
      <c r="D48" s="68">
        <v>2</v>
      </c>
      <c r="E48" s="68" t="s">
        <v>4</v>
      </c>
      <c r="F48" s="68" t="s">
        <v>7</v>
      </c>
      <c r="G48" s="87">
        <v>3393.35635</v>
      </c>
    </row>
    <row r="49" spans="1:7" x14ac:dyDescent="0.35">
      <c r="A49" s="60">
        <v>28</v>
      </c>
      <c r="B49" s="60" t="s">
        <v>0</v>
      </c>
      <c r="C49" s="60">
        <v>34.770000000000003</v>
      </c>
      <c r="D49" s="60">
        <v>0</v>
      </c>
      <c r="E49" s="60" t="s">
        <v>4</v>
      </c>
      <c r="F49" s="60" t="s">
        <v>6</v>
      </c>
      <c r="G49" s="88">
        <v>3556.9223000000002</v>
      </c>
    </row>
    <row r="50" spans="1:7" x14ac:dyDescent="0.35">
      <c r="A50" s="68">
        <v>60</v>
      </c>
      <c r="B50" s="68" t="s">
        <v>0</v>
      </c>
      <c r="C50" s="68">
        <v>24.53</v>
      </c>
      <c r="D50" s="68">
        <v>0</v>
      </c>
      <c r="E50" s="68" t="s">
        <v>4</v>
      </c>
      <c r="F50" s="68" t="s">
        <v>5</v>
      </c>
      <c r="G50" s="87">
        <v>12629.896699999999</v>
      </c>
    </row>
    <row r="51" spans="1:7" x14ac:dyDescent="0.35">
      <c r="A51" s="60">
        <v>36</v>
      </c>
      <c r="B51" s="60" t="s">
        <v>3</v>
      </c>
      <c r="C51" s="60">
        <v>35.200000000000003</v>
      </c>
      <c r="D51" s="60">
        <v>1</v>
      </c>
      <c r="E51" s="60" t="s">
        <v>1</v>
      </c>
      <c r="F51" s="60" t="s">
        <v>5</v>
      </c>
      <c r="G51" s="88">
        <v>38709.175999999999</v>
      </c>
    </row>
    <row r="52" spans="1:7" x14ac:dyDescent="0.35">
      <c r="A52" s="68">
        <v>18</v>
      </c>
      <c r="B52" s="68" t="s">
        <v>0</v>
      </c>
      <c r="C52" s="68">
        <v>35.625</v>
      </c>
      <c r="D52" s="68">
        <v>0</v>
      </c>
      <c r="E52" s="68" t="s">
        <v>4</v>
      </c>
      <c r="F52" s="68" t="s">
        <v>7</v>
      </c>
      <c r="G52" s="87">
        <v>2211.1307499999998</v>
      </c>
    </row>
    <row r="53" spans="1:7" x14ac:dyDescent="0.35">
      <c r="A53" s="60">
        <v>21</v>
      </c>
      <c r="B53" s="60" t="s">
        <v>0</v>
      </c>
      <c r="C53" s="60">
        <v>33.630000000000003</v>
      </c>
      <c r="D53" s="60">
        <v>2</v>
      </c>
      <c r="E53" s="60" t="s">
        <v>4</v>
      </c>
      <c r="F53" s="60" t="s">
        <v>6</v>
      </c>
      <c r="G53" s="88">
        <v>3579.8287</v>
      </c>
    </row>
    <row r="54" spans="1:7" x14ac:dyDescent="0.35">
      <c r="A54" s="68">
        <v>48</v>
      </c>
      <c r="B54" s="68" t="s">
        <v>3</v>
      </c>
      <c r="C54" s="68">
        <v>28</v>
      </c>
      <c r="D54" s="68">
        <v>1</v>
      </c>
      <c r="E54" s="68" t="s">
        <v>1</v>
      </c>
      <c r="F54" s="68" t="s">
        <v>2</v>
      </c>
      <c r="G54" s="87">
        <v>23568.272000000001</v>
      </c>
    </row>
    <row r="55" spans="1:7" x14ac:dyDescent="0.35">
      <c r="A55" s="60">
        <v>36</v>
      </c>
      <c r="B55" s="60" t="s">
        <v>3</v>
      </c>
      <c r="C55" s="60">
        <v>34.43</v>
      </c>
      <c r="D55" s="60">
        <v>0</v>
      </c>
      <c r="E55" s="60" t="s">
        <v>1</v>
      </c>
      <c r="F55" s="60" t="s">
        <v>5</v>
      </c>
      <c r="G55" s="88">
        <v>37742.575700000001</v>
      </c>
    </row>
    <row r="56" spans="1:7" x14ac:dyDescent="0.35">
      <c r="A56" s="68">
        <v>40</v>
      </c>
      <c r="B56" s="68" t="s">
        <v>0</v>
      </c>
      <c r="C56" s="68">
        <v>28.69</v>
      </c>
      <c r="D56" s="68">
        <v>3</v>
      </c>
      <c r="E56" s="68" t="s">
        <v>4</v>
      </c>
      <c r="F56" s="68" t="s">
        <v>6</v>
      </c>
      <c r="G56" s="87">
        <v>8059.6791000000003</v>
      </c>
    </row>
  </sheetData>
  <conditionalFormatting sqref="A1:G1">
    <cfRule type="colorScale" priority="5">
      <colorScale>
        <cfvo type="min"/>
        <cfvo type="percentile" val="50"/>
        <cfvo type="max"/>
        <color rgb="FFF8696B"/>
        <color rgb="FFFFEB84"/>
        <color rgb="FF63BE7B"/>
      </colorScale>
    </cfRule>
  </conditionalFormatting>
  <conditionalFormatting sqref="O1">
    <cfRule type="colorScale" priority="4">
      <colorScale>
        <cfvo type="min"/>
        <cfvo type="percentile" val="50"/>
        <cfvo type="max"/>
        <color rgb="FFF8696B"/>
        <color rgb="FFFFEB84"/>
        <color rgb="FF63BE7B"/>
      </colorScale>
    </cfRule>
  </conditionalFormatting>
  <conditionalFormatting sqref="P1">
    <cfRule type="colorScale" priority="3">
      <colorScale>
        <cfvo type="min"/>
        <cfvo type="percentile" val="50"/>
        <cfvo type="max"/>
        <color rgb="FFF8696B"/>
        <color rgb="FFFFEB84"/>
        <color rgb="FF63BE7B"/>
      </colorScale>
    </cfRule>
  </conditionalFormatting>
  <conditionalFormatting sqref="Q1">
    <cfRule type="colorScale" priority="1">
      <colorScale>
        <cfvo type="min"/>
        <cfvo type="percentile" val="50"/>
        <cfvo type="max"/>
        <color rgb="FFF8696B"/>
        <color rgb="FFFFEB84"/>
        <color rgb="FF63BE7B"/>
      </colorScale>
    </cfRule>
  </conditionalFormatting>
  <conditionalFormatting sqref="R1">
    <cfRule type="colorScale" priority="2">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FC4A6-737A-4783-8884-550615E1614B}">
  <dimension ref="A2:B21"/>
  <sheetViews>
    <sheetView zoomScale="89" workbookViewId="0">
      <selection activeCell="F6" sqref="F6"/>
    </sheetView>
  </sheetViews>
  <sheetFormatPr defaultRowHeight="14.5" x14ac:dyDescent="0.35"/>
  <cols>
    <col min="1" max="1" width="21.26953125" bestFit="1" customWidth="1"/>
    <col min="2" max="2" width="11.81640625" bestFit="1" customWidth="1"/>
  </cols>
  <sheetData>
    <row r="2" spans="1:2" ht="15" thickBot="1" x14ac:dyDescent="0.4">
      <c r="A2" s="109" t="s">
        <v>118</v>
      </c>
      <c r="B2" s="109"/>
    </row>
    <row r="3" spans="1:2" x14ac:dyDescent="0.35">
      <c r="A3" s="65" t="s">
        <v>157</v>
      </c>
      <c r="B3" s="65"/>
    </row>
    <row r="5" spans="1:2" x14ac:dyDescent="0.35">
      <c r="A5" s="61" t="s">
        <v>14</v>
      </c>
      <c r="B5" s="61">
        <v>14169.375160363637</v>
      </c>
    </row>
    <row r="6" spans="1:2" x14ac:dyDescent="0.35">
      <c r="A6" s="61" t="s">
        <v>25</v>
      </c>
      <c r="B6" s="61">
        <v>1909.3737532462701</v>
      </c>
    </row>
    <row r="7" spans="1:2" x14ac:dyDescent="0.35">
      <c r="A7" s="61" t="s">
        <v>15</v>
      </c>
      <c r="B7" s="61">
        <v>8059.6791000000003</v>
      </c>
    </row>
    <row r="8" spans="1:2" x14ac:dyDescent="0.35">
      <c r="A8" s="61" t="s">
        <v>16</v>
      </c>
      <c r="B8" s="61" t="e">
        <v>#N/A</v>
      </c>
    </row>
    <row r="9" spans="1:2" x14ac:dyDescent="0.35">
      <c r="A9" s="61" t="s">
        <v>21</v>
      </c>
      <c r="B9" s="61">
        <v>14160.294740125191</v>
      </c>
    </row>
    <row r="10" spans="1:2" x14ac:dyDescent="0.35">
      <c r="A10" s="61" t="s">
        <v>43</v>
      </c>
      <c r="B10" s="61">
        <v>200513947.12721714</v>
      </c>
    </row>
    <row r="11" spans="1:2" x14ac:dyDescent="0.35">
      <c r="A11" s="61" t="s">
        <v>23</v>
      </c>
      <c r="B11" s="61">
        <v>9.3603745352593748E-2</v>
      </c>
    </row>
    <row r="12" spans="1:2" x14ac:dyDescent="0.35">
      <c r="A12" s="61" t="s">
        <v>22</v>
      </c>
      <c r="B12" s="61">
        <v>1.1762278841351146</v>
      </c>
    </row>
    <row r="13" spans="1:2" x14ac:dyDescent="0.35">
      <c r="A13" s="61" t="s">
        <v>19</v>
      </c>
      <c r="B13" s="61">
        <v>50057.548139999999</v>
      </c>
    </row>
    <row r="14" spans="1:2" x14ac:dyDescent="0.35">
      <c r="A14" s="61" t="s">
        <v>17</v>
      </c>
      <c r="B14" s="61">
        <v>1137.011</v>
      </c>
    </row>
    <row r="15" spans="1:2" x14ac:dyDescent="0.35">
      <c r="A15" s="61" t="s">
        <v>18</v>
      </c>
      <c r="B15" s="61">
        <v>51194.559139999998</v>
      </c>
    </row>
    <row r="16" spans="1:2" x14ac:dyDescent="0.35">
      <c r="A16" s="61" t="s">
        <v>77</v>
      </c>
      <c r="B16" s="61">
        <v>779315.6338200001</v>
      </c>
    </row>
    <row r="17" spans="1:2" x14ac:dyDescent="0.35">
      <c r="A17" s="61" t="s">
        <v>24</v>
      </c>
      <c r="B17" s="61">
        <v>55</v>
      </c>
    </row>
    <row r="18" spans="1:2" x14ac:dyDescent="0.35">
      <c r="A18" s="61" t="s">
        <v>117</v>
      </c>
      <c r="B18" s="61">
        <v>3828.0638912933518</v>
      </c>
    </row>
    <row r="20" spans="1:2" x14ac:dyDescent="0.35">
      <c r="A20" s="1"/>
    </row>
    <row r="21" spans="1:2" x14ac:dyDescent="0.35">
      <c r="A21" s="1"/>
    </row>
  </sheetData>
  <mergeCells count="1">
    <mergeCell ref="A2:B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6B12D-61D4-4E44-8AE4-12B614A461D5}">
  <sheetPr codeName="Sheet21"/>
  <dimension ref="A1:D21"/>
  <sheetViews>
    <sheetView topLeftCell="A3" zoomScale="86" workbookViewId="0">
      <selection activeCell="G14" sqref="G14"/>
    </sheetView>
  </sheetViews>
  <sheetFormatPr defaultColWidth="9.1796875" defaultRowHeight="15" customHeight="1" x14ac:dyDescent="0.35"/>
  <cols>
    <col min="1" max="1" width="26" style="3" customWidth="1"/>
    <col min="2" max="2" width="12" style="3" customWidth="1"/>
    <col min="3" max="16384" width="9.1796875" style="3"/>
  </cols>
  <sheetData>
    <row r="1" spans="1:2" ht="15" customHeight="1" x14ac:dyDescent="0.4">
      <c r="A1" s="75" t="s">
        <v>36</v>
      </c>
      <c r="B1" s="2"/>
    </row>
    <row r="2" spans="1:2" ht="15" customHeight="1" x14ac:dyDescent="0.35">
      <c r="A2" s="4"/>
      <c r="B2" s="2"/>
    </row>
    <row r="3" spans="1:2" ht="15" customHeight="1" x14ac:dyDescent="0.35">
      <c r="A3" s="5" t="s">
        <v>26</v>
      </c>
      <c r="B3" s="6"/>
    </row>
    <row r="4" spans="1:2" ht="15" customHeight="1" x14ac:dyDescent="0.35">
      <c r="A4" s="7" t="s">
        <v>27</v>
      </c>
      <c r="B4" s="8">
        <v>14160.29</v>
      </c>
    </row>
    <row r="5" spans="1:2" ht="15" customHeight="1" x14ac:dyDescent="0.35">
      <c r="A5" s="7" t="s">
        <v>28</v>
      </c>
      <c r="B5" s="8">
        <v>14169.38</v>
      </c>
    </row>
    <row r="6" spans="1:2" ht="15" customHeight="1" x14ac:dyDescent="0.35">
      <c r="A6" s="7" t="s">
        <v>29</v>
      </c>
      <c r="B6" s="8">
        <v>55</v>
      </c>
    </row>
    <row r="7" spans="1:2" ht="15" customHeight="1" x14ac:dyDescent="0.35">
      <c r="A7" s="7" t="s">
        <v>30</v>
      </c>
      <c r="B7" s="9">
        <v>0.95</v>
      </c>
    </row>
    <row r="8" spans="1:2" ht="15" customHeight="1" x14ac:dyDescent="0.35">
      <c r="A8" s="10"/>
      <c r="B8" s="11"/>
    </row>
    <row r="9" spans="1:2" ht="15" customHeight="1" x14ac:dyDescent="0.35">
      <c r="A9" s="110" t="s">
        <v>31</v>
      </c>
      <c r="B9" s="111"/>
    </row>
    <row r="10" spans="1:2" ht="15" customHeight="1" x14ac:dyDescent="0.35">
      <c r="A10" s="12" t="s">
        <v>32</v>
      </c>
      <c r="B10" s="12">
        <f>B4/SQRT(B6)</f>
        <v>1909.3731140879245</v>
      </c>
    </row>
    <row r="11" spans="1:2" ht="15" customHeight="1" x14ac:dyDescent="0.35">
      <c r="A11" s="12" t="s">
        <v>33</v>
      </c>
      <c r="B11" s="12">
        <f>B6-1</f>
        <v>54</v>
      </c>
    </row>
    <row r="12" spans="1:2" ht="15" customHeight="1" x14ac:dyDescent="0.35">
      <c r="A12" s="13" t="s">
        <v>34</v>
      </c>
      <c r="B12" s="14">
        <f>_xlfn.T.INV.2T(1-B7, B11)</f>
        <v>2.0048792881880577</v>
      </c>
    </row>
    <row r="13" spans="1:2" ht="15" customHeight="1" x14ac:dyDescent="0.35">
      <c r="A13" s="12" t="s">
        <v>35</v>
      </c>
      <c r="B13" s="14">
        <f>B12*B10</f>
        <v>3828.0626098580133</v>
      </c>
    </row>
    <row r="14" spans="1:2" ht="15" customHeight="1" x14ac:dyDescent="0.35">
      <c r="A14" s="15"/>
      <c r="B14" s="15"/>
    </row>
    <row r="15" spans="1:2" ht="15" customHeight="1" x14ac:dyDescent="0.35">
      <c r="A15" s="112" t="s">
        <v>36</v>
      </c>
      <c r="B15" s="113"/>
    </row>
    <row r="16" spans="1:2" ht="15" customHeight="1" x14ac:dyDescent="0.35">
      <c r="A16" s="16" t="s">
        <v>37</v>
      </c>
      <c r="B16" s="17">
        <f>B5-B13</f>
        <v>10341.317390141987</v>
      </c>
    </row>
    <row r="17" spans="1:4" ht="15" customHeight="1" x14ac:dyDescent="0.35">
      <c r="A17" s="16" t="s">
        <v>38</v>
      </c>
      <c r="B17" s="17">
        <f>B5+B13</f>
        <v>17997.442609858012</v>
      </c>
    </row>
    <row r="18" spans="1:4" ht="15" customHeight="1" x14ac:dyDescent="0.35">
      <c r="A18" s="10"/>
      <c r="B18" s="10"/>
    </row>
    <row r="19" spans="1:4" ht="15" customHeight="1" x14ac:dyDescent="0.35">
      <c r="A19" s="81" t="s">
        <v>139</v>
      </c>
      <c r="B19" s="10"/>
    </row>
    <row r="20" spans="1:4" ht="15" customHeight="1" x14ac:dyDescent="0.35">
      <c r="A20" s="114" t="s">
        <v>158</v>
      </c>
      <c r="B20" s="114"/>
      <c r="C20" s="114"/>
      <c r="D20" s="114"/>
    </row>
    <row r="21" spans="1:4" ht="15" customHeight="1" x14ac:dyDescent="0.35">
      <c r="A21" s="114"/>
      <c r="B21" s="114"/>
      <c r="C21" s="114"/>
      <c r="D21" s="114"/>
    </row>
  </sheetData>
  <mergeCells count="3">
    <mergeCell ref="A9:B9"/>
    <mergeCell ref="A15:B15"/>
    <mergeCell ref="A20:D21"/>
  </mergeCells>
  <pageMargins left="0.75" right="0.75" top="1" bottom="1" header="0.5" footer="0.5"/>
  <pageSetup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C866F-29A7-4D69-ADF7-E45297D2EE65}">
  <dimension ref="A1:G25"/>
  <sheetViews>
    <sheetView topLeftCell="A7" zoomScale="107" workbookViewId="0">
      <selection activeCell="J12" sqref="J12"/>
    </sheetView>
  </sheetViews>
  <sheetFormatPr defaultRowHeight="14.5" x14ac:dyDescent="0.35"/>
  <cols>
    <col min="1" max="1" width="25.7265625" bestFit="1" customWidth="1"/>
    <col min="2" max="3" width="12.1796875" bestFit="1" customWidth="1"/>
  </cols>
  <sheetData>
    <row r="1" spans="1:5" ht="14.5" customHeight="1" x14ac:dyDescent="0.35">
      <c r="A1" s="115" t="s">
        <v>123</v>
      </c>
      <c r="B1" s="115"/>
      <c r="C1" s="115"/>
    </row>
    <row r="2" spans="1:5" x14ac:dyDescent="0.35">
      <c r="A2" s="1"/>
      <c r="B2" s="1"/>
      <c r="C2" s="1"/>
    </row>
    <row r="3" spans="1:5" x14ac:dyDescent="0.35">
      <c r="A3" s="77"/>
      <c r="B3" s="77" t="s">
        <v>39</v>
      </c>
      <c r="C3" s="77" t="s">
        <v>40</v>
      </c>
    </row>
    <row r="4" spans="1:5" x14ac:dyDescent="0.35">
      <c r="A4" t="s">
        <v>14</v>
      </c>
      <c r="B4">
        <v>17189.360215517238</v>
      </c>
      <c r="C4">
        <v>10800.930291153847</v>
      </c>
    </row>
    <row r="5" spans="1:5" x14ac:dyDescent="0.35">
      <c r="A5" t="s">
        <v>20</v>
      </c>
      <c r="B5">
        <v>294722327.94125795</v>
      </c>
      <c r="C5">
        <v>80641281.539511263</v>
      </c>
    </row>
    <row r="6" spans="1:5" x14ac:dyDescent="0.35">
      <c r="A6" t="s">
        <v>124</v>
      </c>
      <c r="B6">
        <v>29</v>
      </c>
      <c r="C6">
        <v>26</v>
      </c>
    </row>
    <row r="7" spans="1:5" x14ac:dyDescent="0.35">
      <c r="A7" t="s">
        <v>125</v>
      </c>
      <c r="B7">
        <v>0</v>
      </c>
    </row>
    <row r="8" spans="1:5" x14ac:dyDescent="0.35">
      <c r="A8" t="s">
        <v>82</v>
      </c>
      <c r="B8">
        <v>43</v>
      </c>
    </row>
    <row r="9" spans="1:5" x14ac:dyDescent="0.35">
      <c r="A9" t="s">
        <v>126</v>
      </c>
      <c r="B9">
        <v>1.7540820088111058</v>
      </c>
    </row>
    <row r="10" spans="1:5" x14ac:dyDescent="0.35">
      <c r="A10" t="s">
        <v>127</v>
      </c>
      <c r="B10">
        <v>4.3270756977085614E-2</v>
      </c>
    </row>
    <row r="11" spans="1:5" x14ac:dyDescent="0.35">
      <c r="A11" t="s">
        <v>128</v>
      </c>
      <c r="B11">
        <v>1.6810707032025196</v>
      </c>
    </row>
    <row r="12" spans="1:5" x14ac:dyDescent="0.35">
      <c r="A12" t="s">
        <v>129</v>
      </c>
      <c r="B12">
        <v>8.6541513954171229E-2</v>
      </c>
    </row>
    <row r="13" spans="1:5" ht="15" thickBot="1" x14ac:dyDescent="0.4">
      <c r="A13" s="64" t="s">
        <v>130</v>
      </c>
      <c r="B13" s="64">
        <v>2.0166921992278248</v>
      </c>
      <c r="C13" s="64"/>
    </row>
    <row r="15" spans="1:5" x14ac:dyDescent="0.35">
      <c r="A15" s="81" t="s">
        <v>140</v>
      </c>
    </row>
    <row r="16" spans="1:5" x14ac:dyDescent="0.35">
      <c r="A16" s="116" t="s">
        <v>142</v>
      </c>
      <c r="B16" s="116"/>
      <c r="C16" s="116"/>
      <c r="D16" s="116"/>
      <c r="E16" s="116"/>
    </row>
    <row r="17" spans="1:7" x14ac:dyDescent="0.35">
      <c r="A17" s="117" t="s">
        <v>141</v>
      </c>
      <c r="B17" s="117"/>
      <c r="C17" s="117"/>
      <c r="D17" s="117"/>
      <c r="E17" s="117"/>
    </row>
    <row r="19" spans="1:7" x14ac:dyDescent="0.35">
      <c r="A19" s="81" t="s">
        <v>144</v>
      </c>
    </row>
    <row r="20" spans="1:7" ht="14.5" customHeight="1" x14ac:dyDescent="0.35">
      <c r="A20" s="114" t="s">
        <v>145</v>
      </c>
      <c r="B20" s="114"/>
      <c r="C20" s="114"/>
      <c r="D20" s="114"/>
      <c r="E20" s="114"/>
      <c r="F20" s="114"/>
      <c r="G20" s="114"/>
    </row>
    <row r="21" spans="1:7" x14ac:dyDescent="0.35">
      <c r="A21" s="114"/>
      <c r="B21" s="114"/>
      <c r="C21" s="114"/>
      <c r="D21" s="114"/>
      <c r="E21" s="114"/>
      <c r="F21" s="114"/>
      <c r="G21" s="114"/>
    </row>
    <row r="22" spans="1:7" x14ac:dyDescent="0.35">
      <c r="A22" s="114"/>
      <c r="B22" s="114"/>
      <c r="C22" s="114"/>
      <c r="D22" s="114"/>
      <c r="E22" s="114"/>
      <c r="F22" s="114"/>
      <c r="G22" s="114"/>
    </row>
    <row r="23" spans="1:7" x14ac:dyDescent="0.35">
      <c r="A23" s="82"/>
      <c r="B23" s="82"/>
      <c r="C23" s="82"/>
      <c r="D23" s="82"/>
      <c r="E23" s="82"/>
      <c r="F23" s="82"/>
    </row>
    <row r="24" spans="1:7" x14ac:dyDescent="0.35">
      <c r="A24" s="82"/>
      <c r="B24" s="82"/>
      <c r="C24" s="82"/>
      <c r="D24" s="82"/>
      <c r="E24" s="82"/>
      <c r="F24" s="82"/>
    </row>
    <row r="25" spans="1:7" x14ac:dyDescent="0.35">
      <c r="A25" s="82"/>
      <c r="B25" s="82"/>
      <c r="C25" s="82"/>
      <c r="D25" s="82"/>
      <c r="E25" s="82"/>
      <c r="F25" s="82"/>
    </row>
  </sheetData>
  <mergeCells count="4">
    <mergeCell ref="A1:C1"/>
    <mergeCell ref="A16:E16"/>
    <mergeCell ref="A17:E17"/>
    <mergeCell ref="A20:G2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BAAF4-C5AF-4EF8-ADCC-DDB0B7387025}">
  <sheetPr codeName="Sheet12"/>
  <dimension ref="A1:E29"/>
  <sheetViews>
    <sheetView topLeftCell="A21" zoomScale="101" workbookViewId="0">
      <selection activeCell="E30" sqref="E30"/>
    </sheetView>
  </sheetViews>
  <sheetFormatPr defaultColWidth="9.1796875" defaultRowHeight="15" customHeight="1" x14ac:dyDescent="0.35"/>
  <cols>
    <col min="1" max="1" width="38.1796875" style="20" customWidth="1"/>
    <col min="2" max="2" width="11.81640625" style="20" bestFit="1" customWidth="1"/>
    <col min="3" max="3" width="9.1796875" style="20"/>
    <col min="4" max="4" width="16.81640625" style="20" customWidth="1"/>
    <col min="5" max="5" width="11.81640625" style="20" bestFit="1" customWidth="1"/>
    <col min="6" max="16384" width="9.1796875" style="20"/>
  </cols>
  <sheetData>
    <row r="1" spans="1:5" ht="15" customHeight="1" x14ac:dyDescent="0.35">
      <c r="A1" s="79" t="s">
        <v>67</v>
      </c>
      <c r="B1" s="19"/>
      <c r="C1" s="19"/>
    </row>
    <row r="2" spans="1:5" ht="15" customHeight="1" x14ac:dyDescent="0.35">
      <c r="A2" s="21"/>
      <c r="B2" s="19"/>
      <c r="C2" s="19"/>
    </row>
    <row r="3" spans="1:5" ht="15" customHeight="1" x14ac:dyDescent="0.35">
      <c r="A3" s="118" t="s">
        <v>26</v>
      </c>
      <c r="B3" s="118"/>
      <c r="C3" s="19"/>
    </row>
    <row r="4" spans="1:5" ht="15" customHeight="1" x14ac:dyDescent="0.35">
      <c r="A4" s="22" t="s">
        <v>41</v>
      </c>
      <c r="B4" s="22">
        <v>0.05</v>
      </c>
    </row>
    <row r="5" spans="1:5" ht="15" customHeight="1" x14ac:dyDescent="0.35">
      <c r="A5" s="23" t="s">
        <v>42</v>
      </c>
      <c r="B5" s="23"/>
    </row>
    <row r="6" spans="1:5" ht="15" customHeight="1" x14ac:dyDescent="0.35">
      <c r="A6" s="22" t="s">
        <v>29</v>
      </c>
      <c r="B6" s="22">
        <v>29</v>
      </c>
    </row>
    <row r="7" spans="1:5" ht="15" customHeight="1" x14ac:dyDescent="0.35">
      <c r="A7" s="22" t="s">
        <v>43</v>
      </c>
      <c r="B7" s="22">
        <v>294722327.89999998</v>
      </c>
    </row>
    <row r="8" spans="1:5" ht="15" customHeight="1" x14ac:dyDescent="0.35">
      <c r="A8" s="23" t="s">
        <v>44</v>
      </c>
      <c r="B8" s="23"/>
      <c r="C8" s="24"/>
    </row>
    <row r="9" spans="1:5" ht="15" customHeight="1" x14ac:dyDescent="0.35">
      <c r="A9" s="22" t="s">
        <v>29</v>
      </c>
      <c r="B9" s="22">
        <v>26</v>
      </c>
      <c r="C9" s="25"/>
    </row>
    <row r="10" spans="1:5" ht="15" customHeight="1" x14ac:dyDescent="0.35">
      <c r="A10" s="22" t="s">
        <v>43</v>
      </c>
      <c r="B10" s="22">
        <v>80641281.540000007</v>
      </c>
      <c r="C10" s="25"/>
    </row>
    <row r="11" spans="1:5" ht="15" customHeight="1" x14ac:dyDescent="0.35">
      <c r="A11" s="25"/>
      <c r="B11" s="25"/>
      <c r="C11" s="25"/>
    </row>
    <row r="12" spans="1:5" ht="15" customHeight="1" x14ac:dyDescent="0.35">
      <c r="A12" s="119" t="s">
        <v>31</v>
      </c>
      <c r="B12" s="119"/>
      <c r="C12" s="25"/>
    </row>
    <row r="13" spans="1:5" ht="15" customHeight="1" x14ac:dyDescent="0.35">
      <c r="A13" s="26" t="s">
        <v>45</v>
      </c>
      <c r="B13" s="27">
        <f>B7/B10</f>
        <v>3.6547326911441833</v>
      </c>
      <c r="C13" s="25"/>
    </row>
    <row r="14" spans="1:5" ht="15" customHeight="1" x14ac:dyDescent="0.35">
      <c r="A14" s="28" t="s">
        <v>46</v>
      </c>
      <c r="B14" s="28">
        <f>B6-1</f>
        <v>28</v>
      </c>
      <c r="C14" s="25"/>
      <c r="D14" s="24"/>
    </row>
    <row r="15" spans="1:5" ht="15" customHeight="1" x14ac:dyDescent="0.35">
      <c r="A15" s="28" t="s">
        <v>47</v>
      </c>
      <c r="B15" s="28">
        <f>B9-1</f>
        <v>25</v>
      </c>
      <c r="C15" s="25"/>
    </row>
    <row r="16" spans="1:5" ht="15" customHeight="1" x14ac:dyDescent="0.35">
      <c r="A16" s="29"/>
      <c r="B16" s="29"/>
      <c r="C16" s="25"/>
      <c r="D16" s="30" t="s">
        <v>48</v>
      </c>
      <c r="E16" s="30"/>
    </row>
    <row r="17" spans="1:5" ht="15" customHeight="1" x14ac:dyDescent="0.35">
      <c r="A17" s="31" t="s">
        <v>49</v>
      </c>
      <c r="B17" s="31"/>
      <c r="C17" s="25"/>
      <c r="D17" s="32" t="s">
        <v>50</v>
      </c>
      <c r="E17" s="33">
        <f>_xlfn.F.DIST.RT(B13, B14, B15)</f>
        <v>8.1006713576696281E-4</v>
      </c>
    </row>
    <row r="18" spans="1:5" ht="15" customHeight="1" x14ac:dyDescent="0.35">
      <c r="A18" s="34" t="s">
        <v>51</v>
      </c>
      <c r="B18" s="27">
        <f>_xlfn.F.INV.RT(B4/2, B14, B15)</f>
        <v>2.1991969318061928</v>
      </c>
      <c r="C18" s="25"/>
      <c r="D18" s="32"/>
    </row>
    <row r="19" spans="1:5" ht="15" customHeight="1" x14ac:dyDescent="0.35">
      <c r="A19" s="26" t="s">
        <v>52</v>
      </c>
      <c r="B19" s="27">
        <f>2*E17</f>
        <v>1.6201342715339256E-3</v>
      </c>
      <c r="C19" s="25"/>
    </row>
    <row r="20" spans="1:5" ht="15" customHeight="1" x14ac:dyDescent="0.35">
      <c r="A20" s="31" t="str">
        <f>IF(B19&lt;B4, "Reject the null hypothesis", "Do not reject the null hypothesis")</f>
        <v>Reject the null hypothesis</v>
      </c>
      <c r="B20" s="31"/>
      <c r="C20" s="24"/>
    </row>
    <row r="21" spans="1:5" ht="15" customHeight="1" x14ac:dyDescent="0.35">
      <c r="C21" s="25"/>
    </row>
    <row r="22" spans="1:5" ht="15" customHeight="1" x14ac:dyDescent="0.35">
      <c r="A22" s="84" t="s">
        <v>140</v>
      </c>
      <c r="C22" s="25"/>
    </row>
    <row r="23" spans="1:5" ht="15" customHeight="1" x14ac:dyDescent="0.35">
      <c r="A23" s="116" t="s">
        <v>146</v>
      </c>
      <c r="B23" s="116"/>
    </row>
    <row r="24" spans="1:5" ht="15" customHeight="1" x14ac:dyDescent="0.35">
      <c r="A24" s="116" t="s">
        <v>147</v>
      </c>
      <c r="B24" s="116"/>
    </row>
    <row r="26" spans="1:5" ht="15" customHeight="1" x14ac:dyDescent="0.35">
      <c r="A26" s="84" t="s">
        <v>143</v>
      </c>
    </row>
    <row r="27" spans="1:5" ht="15" customHeight="1" x14ac:dyDescent="0.35">
      <c r="A27" s="114" t="s">
        <v>148</v>
      </c>
      <c r="B27" s="114"/>
      <c r="C27" s="114"/>
      <c r="D27" s="114"/>
      <c r="E27" s="114"/>
    </row>
    <row r="28" spans="1:5" ht="15" customHeight="1" x14ac:dyDescent="0.35">
      <c r="A28" s="114"/>
      <c r="B28" s="114"/>
      <c r="C28" s="114"/>
      <c r="D28" s="114"/>
      <c r="E28" s="114"/>
    </row>
    <row r="29" spans="1:5" ht="15" customHeight="1" x14ac:dyDescent="0.35">
      <c r="A29" s="114"/>
      <c r="B29" s="114"/>
      <c r="C29" s="114"/>
      <c r="D29" s="114"/>
      <c r="E29" s="114"/>
    </row>
  </sheetData>
  <mergeCells count="5">
    <mergeCell ref="A3:B3"/>
    <mergeCell ref="A12:B12"/>
    <mergeCell ref="A23:B23"/>
    <mergeCell ref="A24:B24"/>
    <mergeCell ref="A27:E29"/>
  </mergeCells>
  <printOptions gridLines="1" gridLinesSet="0"/>
  <pageMargins left="0.75" right="0.75" top="1" bottom="1" header="0.5" footer="0.5"/>
  <pageSetup orientation="portrait" horizontalDpi="300" verticalDpi="3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BBB86-0169-484F-B48E-7091768C8AAB}">
  <sheetPr codeName="Sheet8"/>
  <dimension ref="A1:E33"/>
  <sheetViews>
    <sheetView topLeftCell="C5" zoomScale="65" workbookViewId="0">
      <selection activeCell="H25" sqref="H25"/>
    </sheetView>
  </sheetViews>
  <sheetFormatPr defaultColWidth="9.1796875" defaultRowHeight="15" customHeight="1" x14ac:dyDescent="0.35"/>
  <cols>
    <col min="1" max="1" width="29" style="20" customWidth="1"/>
    <col min="2" max="2" width="12.26953125" style="20" customWidth="1"/>
    <col min="3" max="3" width="7.7265625" style="20" customWidth="1"/>
    <col min="4" max="4" width="38.453125" style="20" customWidth="1"/>
    <col min="5" max="5" width="14.26953125" style="20" customWidth="1"/>
    <col min="6" max="16384" width="9.1796875" style="20"/>
  </cols>
  <sheetData>
    <row r="1" spans="1:5" ht="15" customHeight="1" x14ac:dyDescent="0.35">
      <c r="A1" s="121" t="s">
        <v>121</v>
      </c>
      <c r="B1" s="121"/>
    </row>
    <row r="2" spans="1:5" ht="15" customHeight="1" thickBot="1" x14ac:dyDescent="0.4">
      <c r="A2" s="76" t="s">
        <v>122</v>
      </c>
      <c r="B2" s="19"/>
    </row>
    <row r="3" spans="1:5" ht="15" customHeight="1" x14ac:dyDescent="0.35">
      <c r="A3" s="118" t="s">
        <v>26</v>
      </c>
      <c r="B3" s="118"/>
      <c r="D3" s="124" t="s">
        <v>55</v>
      </c>
      <c r="E3" s="125"/>
    </row>
    <row r="4" spans="1:5" ht="15" customHeight="1" x14ac:dyDescent="0.35">
      <c r="A4" s="22" t="s">
        <v>53</v>
      </c>
      <c r="B4" s="22">
        <v>0</v>
      </c>
      <c r="D4" s="126" t="s">
        <v>56</v>
      </c>
      <c r="E4" s="127"/>
    </row>
    <row r="5" spans="1:5" ht="15" customHeight="1" x14ac:dyDescent="0.35">
      <c r="A5" s="22" t="s">
        <v>41</v>
      </c>
      <c r="B5" s="22">
        <v>0.05</v>
      </c>
      <c r="D5" s="37"/>
      <c r="E5" s="38"/>
    </row>
    <row r="6" spans="1:5" ht="15" customHeight="1" x14ac:dyDescent="0.35">
      <c r="A6" s="23" t="s">
        <v>57</v>
      </c>
      <c r="B6" s="23"/>
      <c r="D6" s="128" t="s">
        <v>26</v>
      </c>
      <c r="E6" s="129"/>
    </row>
    <row r="7" spans="1:5" ht="15" customHeight="1" x14ac:dyDescent="0.35">
      <c r="A7" s="22" t="s">
        <v>58</v>
      </c>
      <c r="B7" s="22">
        <v>10</v>
      </c>
      <c r="C7" s="24"/>
      <c r="D7" s="39" t="s">
        <v>30</v>
      </c>
      <c r="E7" s="40">
        <v>0.95</v>
      </c>
    </row>
    <row r="8" spans="1:5" ht="15" customHeight="1" x14ac:dyDescent="0.35">
      <c r="A8" s="22" t="s">
        <v>29</v>
      </c>
      <c r="B8" s="22">
        <v>29</v>
      </c>
      <c r="C8" s="24"/>
      <c r="D8" s="37"/>
      <c r="E8" s="38"/>
    </row>
    <row r="9" spans="1:5" ht="15" customHeight="1" x14ac:dyDescent="0.35">
      <c r="A9" s="23" t="s">
        <v>59</v>
      </c>
      <c r="B9" s="23"/>
      <c r="C9" s="24"/>
      <c r="D9" s="130" t="s">
        <v>31</v>
      </c>
      <c r="E9" s="131"/>
    </row>
    <row r="10" spans="1:5" ht="15" customHeight="1" x14ac:dyDescent="0.35">
      <c r="A10" s="22" t="s">
        <v>58</v>
      </c>
      <c r="B10" s="22">
        <v>3</v>
      </c>
      <c r="D10" s="41" t="s">
        <v>60</v>
      </c>
      <c r="E10" s="42">
        <f>_xlfn.NORM.S.INV((1-E7)/2)</f>
        <v>-1.9599639845400536</v>
      </c>
    </row>
    <row r="11" spans="1:5" ht="15" customHeight="1" x14ac:dyDescent="0.35">
      <c r="A11" s="22" t="s">
        <v>29</v>
      </c>
      <c r="B11" s="22">
        <v>26</v>
      </c>
      <c r="D11" s="43" t="s">
        <v>61</v>
      </c>
      <c r="E11" s="42">
        <f>SQRT((B14*(1-B14)/B8)+(B15*(1-B15)/B11))</f>
        <v>0.10824142104644406</v>
      </c>
    </row>
    <row r="12" spans="1:5" ht="15" customHeight="1" x14ac:dyDescent="0.35">
      <c r="A12" s="25"/>
      <c r="B12" s="25"/>
      <c r="D12" s="43" t="s">
        <v>35</v>
      </c>
      <c r="E12" s="42">
        <f>ABS(E10*E11)</f>
        <v>0.21214928688646612</v>
      </c>
    </row>
    <row r="13" spans="1:5" ht="15" customHeight="1" x14ac:dyDescent="0.35">
      <c r="A13" s="119" t="s">
        <v>31</v>
      </c>
      <c r="B13" s="119"/>
      <c r="D13" s="37"/>
      <c r="E13" s="38"/>
    </row>
    <row r="14" spans="1:5" ht="15" customHeight="1" x14ac:dyDescent="0.35">
      <c r="A14" s="28" t="s">
        <v>62</v>
      </c>
      <c r="B14" s="28">
        <f>B7/B8</f>
        <v>0.34482758620689657</v>
      </c>
      <c r="D14" s="122" t="s">
        <v>36</v>
      </c>
      <c r="E14" s="123"/>
    </row>
    <row r="15" spans="1:5" ht="15" customHeight="1" x14ac:dyDescent="0.35">
      <c r="A15" s="28" t="s">
        <v>63</v>
      </c>
      <c r="B15" s="28">
        <f>B10/B11</f>
        <v>0.11538461538461539</v>
      </c>
      <c r="D15" s="44" t="s">
        <v>37</v>
      </c>
      <c r="E15" s="45">
        <f>B16-E12</f>
        <v>1.7293683935815068E-2</v>
      </c>
    </row>
    <row r="16" spans="1:5" ht="15" customHeight="1" thickBot="1" x14ac:dyDescent="0.4">
      <c r="A16" s="28" t="s">
        <v>64</v>
      </c>
      <c r="B16" s="28">
        <f>B14-B15</f>
        <v>0.22944297082228118</v>
      </c>
      <c r="D16" s="46" t="s">
        <v>38</v>
      </c>
      <c r="E16" s="47">
        <f>B16+E12</f>
        <v>0.44159225770874733</v>
      </c>
    </row>
    <row r="17" spans="1:4" ht="15" customHeight="1" x14ac:dyDescent="0.35">
      <c r="A17" s="28" t="s">
        <v>65</v>
      </c>
      <c r="B17" s="35">
        <f>(B7+B10)/(B8+B11)</f>
        <v>0.23636363636363636</v>
      </c>
    </row>
    <row r="18" spans="1:4" ht="15" customHeight="1" x14ac:dyDescent="0.35">
      <c r="A18" s="34" t="s">
        <v>66</v>
      </c>
      <c r="B18" s="27">
        <f>(B16-B4)/SQRT(B17*(1-B17)*(1/B8+1/B11))</f>
        <v>1.9996107072474061</v>
      </c>
    </row>
    <row r="19" spans="1:4" ht="15" customHeight="1" x14ac:dyDescent="0.35">
      <c r="A19" s="29"/>
      <c r="B19" s="29"/>
    </row>
    <row r="20" spans="1:4" ht="15" customHeight="1" x14ac:dyDescent="0.35">
      <c r="A20" s="31" t="s">
        <v>49</v>
      </c>
      <c r="B20" s="31"/>
    </row>
    <row r="21" spans="1:4" ht="15" customHeight="1" x14ac:dyDescent="0.35">
      <c r="A21" s="34" t="s">
        <v>54</v>
      </c>
      <c r="B21" s="48">
        <f>_xlfn.NORM.S.INV(B5/2)</f>
        <v>-1.9599639845400538</v>
      </c>
    </row>
    <row r="22" spans="1:4" ht="15" customHeight="1" x14ac:dyDescent="0.35">
      <c r="A22" s="34" t="s">
        <v>51</v>
      </c>
      <c r="B22" s="48">
        <f>_xlfn.NORM.S.INV(1-B5/2)</f>
        <v>1.9599639845400536</v>
      </c>
    </row>
    <row r="23" spans="1:4" ht="15" customHeight="1" x14ac:dyDescent="0.35">
      <c r="A23" s="26" t="s">
        <v>52</v>
      </c>
      <c r="B23" s="48">
        <f>2*(1-_xlfn.NORM.S.DIST(ABS(B18),TRUE))</f>
        <v>4.5542316848019571E-2</v>
      </c>
    </row>
    <row r="24" spans="1:4" ht="15" customHeight="1" x14ac:dyDescent="0.35">
      <c r="A24" s="31" t="str">
        <f>IF(B23&lt;$B$5, "Reject the null hypothesis", "Do not reject the null hypothesis")</f>
        <v>Reject the null hypothesis</v>
      </c>
      <c r="B24" s="31"/>
    </row>
    <row r="25" spans="1:4" ht="15" customHeight="1" x14ac:dyDescent="0.35">
      <c r="A25" s="25"/>
      <c r="B25" s="25"/>
    </row>
    <row r="26" spans="1:4" ht="15" customHeight="1" x14ac:dyDescent="0.35">
      <c r="A26" s="81" t="s">
        <v>140</v>
      </c>
    </row>
    <row r="27" spans="1:4" ht="15" customHeight="1" x14ac:dyDescent="0.35">
      <c r="A27" s="117" t="s">
        <v>149</v>
      </c>
      <c r="B27" s="117"/>
      <c r="C27" s="117"/>
      <c r="D27" s="117"/>
    </row>
    <row r="28" spans="1:4" ht="15" customHeight="1" x14ac:dyDescent="0.35">
      <c r="A28" s="117" t="s">
        <v>150</v>
      </c>
      <c r="B28" s="117"/>
      <c r="C28" s="117"/>
      <c r="D28" s="117"/>
    </row>
    <row r="30" spans="1:4" ht="15" customHeight="1" x14ac:dyDescent="0.35">
      <c r="A30" s="83" t="s">
        <v>151</v>
      </c>
    </row>
    <row r="31" spans="1:4" ht="15" customHeight="1" x14ac:dyDescent="0.35">
      <c r="A31" s="120" t="s">
        <v>152</v>
      </c>
      <c r="B31" s="120"/>
      <c r="C31" s="120"/>
      <c r="D31" s="120"/>
    </row>
    <row r="32" spans="1:4" ht="15" customHeight="1" x14ac:dyDescent="0.35">
      <c r="A32" s="120"/>
      <c r="B32" s="120"/>
      <c r="C32" s="120"/>
      <c r="D32" s="120"/>
    </row>
    <row r="33" spans="1:4" ht="15" customHeight="1" x14ac:dyDescent="0.35">
      <c r="A33" s="120"/>
      <c r="B33" s="120"/>
      <c r="C33" s="120"/>
      <c r="D33" s="120"/>
    </row>
  </sheetData>
  <mergeCells count="11">
    <mergeCell ref="A31:D33"/>
    <mergeCell ref="A27:D27"/>
    <mergeCell ref="A28:D28"/>
    <mergeCell ref="A1:B1"/>
    <mergeCell ref="D14:E14"/>
    <mergeCell ref="A3:B3"/>
    <mergeCell ref="D3:E3"/>
    <mergeCell ref="D4:E4"/>
    <mergeCell ref="D6:E6"/>
    <mergeCell ref="D9:E9"/>
    <mergeCell ref="A13:B13"/>
  </mergeCells>
  <printOptions gridLines="1" gridLinesSet="0"/>
  <pageMargins left="0.75" right="0.75" top="1" bottom="1" header="0.5" footer="0.5"/>
  <pageSetup orientation="portrait" horizontalDpi="300" verticalDpi="3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947A7-445E-47E3-B332-83C019B403E8}">
  <sheetPr codeName="Sheet7"/>
  <dimension ref="A1:J39"/>
  <sheetViews>
    <sheetView zoomScale="82" workbookViewId="0">
      <selection activeCell="M36" sqref="M36"/>
    </sheetView>
  </sheetViews>
  <sheetFormatPr defaultColWidth="9.1796875" defaultRowHeight="14.5" x14ac:dyDescent="0.35"/>
  <cols>
    <col min="1" max="1" width="20.26953125" style="20" bestFit="1" customWidth="1"/>
    <col min="2" max="2" width="16.453125" style="20" bestFit="1" customWidth="1"/>
    <col min="3" max="3" width="11.81640625" style="20" bestFit="1" customWidth="1"/>
    <col min="4" max="5" width="14.453125" style="20" bestFit="1" customWidth="1"/>
    <col min="6" max="6" width="7.81640625" style="20" bestFit="1" customWidth="1"/>
    <col min="7" max="7" width="6.54296875" style="20" bestFit="1" customWidth="1"/>
    <col min="8" max="8" width="2.1796875" style="20" customWidth="1"/>
    <col min="9" max="9" width="4.54296875" style="20" customWidth="1"/>
    <col min="10" max="10" width="7.1796875" style="20" customWidth="1"/>
    <col min="11" max="16384" width="9.1796875" style="20"/>
  </cols>
  <sheetData>
    <row r="1" spans="1:10" ht="15" customHeight="1" x14ac:dyDescent="0.35">
      <c r="A1" s="78" t="s">
        <v>91</v>
      </c>
      <c r="B1" s="25"/>
      <c r="C1" s="25"/>
      <c r="D1" s="25"/>
      <c r="E1" s="25"/>
      <c r="F1" s="25"/>
      <c r="G1" s="25"/>
      <c r="I1" s="132" t="s">
        <v>72</v>
      </c>
      <c r="J1" s="133"/>
    </row>
    <row r="2" spans="1:10" ht="15" customHeight="1" x14ac:dyDescent="0.35">
      <c r="A2" s="25"/>
      <c r="B2" s="25"/>
      <c r="C2" s="25"/>
      <c r="D2" s="25"/>
      <c r="E2" s="25"/>
      <c r="F2" s="25"/>
      <c r="G2" s="25"/>
      <c r="I2" s="50" t="s">
        <v>73</v>
      </c>
      <c r="J2" s="51">
        <f>COUNTA(ASFData!$1:$1)</f>
        <v>4</v>
      </c>
    </row>
    <row r="3" spans="1:10" ht="15" customHeight="1" thickBot="1" x14ac:dyDescent="0.4">
      <c r="A3" s="25" t="s">
        <v>74</v>
      </c>
      <c r="B3" s="25"/>
      <c r="C3" s="25"/>
      <c r="D3" s="25"/>
      <c r="E3" s="25"/>
      <c r="F3" s="25"/>
      <c r="G3" s="25"/>
      <c r="H3" s="52"/>
      <c r="I3" s="53" t="s">
        <v>75</v>
      </c>
      <c r="J3" s="54">
        <f>SUM(B5:B8)</f>
        <v>55</v>
      </c>
    </row>
    <row r="4" spans="1:10" ht="15" customHeight="1" x14ac:dyDescent="0.35">
      <c r="A4" s="55" t="s">
        <v>76</v>
      </c>
      <c r="B4" s="55" t="s">
        <v>24</v>
      </c>
      <c r="C4" s="55" t="s">
        <v>77</v>
      </c>
      <c r="D4" s="55" t="s">
        <v>78</v>
      </c>
      <c r="E4" s="55" t="s">
        <v>20</v>
      </c>
      <c r="F4" s="25"/>
      <c r="G4" s="25"/>
    </row>
    <row r="5" spans="1:10" ht="15" customHeight="1" x14ac:dyDescent="0.35">
      <c r="A5" s="25" t="s">
        <v>68</v>
      </c>
      <c r="B5" s="25">
        <f>COUNT(ASFData!$A:$A)</f>
        <v>14</v>
      </c>
      <c r="C5" s="25">
        <f>SUM(ASFData!$A:$A)</f>
        <v>286963.08513999998</v>
      </c>
      <c r="D5" s="25">
        <f>AVERAGE(ASFData!$A:$A)</f>
        <v>20497.363224285713</v>
      </c>
      <c r="E5" s="36">
        <f>_xlfn.VAR.S(ASFData!$A:$A)</f>
        <v>330616999.22805321</v>
      </c>
      <c r="F5" s="25"/>
      <c r="G5" s="25"/>
    </row>
    <row r="6" spans="1:10" ht="15" customHeight="1" x14ac:dyDescent="0.35">
      <c r="A6" s="25" t="s">
        <v>69</v>
      </c>
      <c r="B6" s="25">
        <f>COUNT(ASFData!$B:$B)</f>
        <v>15</v>
      </c>
      <c r="C6" s="25">
        <f>SUM(ASFData!$B:$B)</f>
        <v>218439.21419999999</v>
      </c>
      <c r="D6" s="25">
        <f>AVERAGE(ASFData!$B:$B)</f>
        <v>14562.61428</v>
      </c>
      <c r="E6" s="36">
        <f>_xlfn.VAR.S(ASFData!$B:$B)</f>
        <v>198044150.01744574</v>
      </c>
      <c r="F6" s="25"/>
      <c r="G6" s="25"/>
    </row>
    <row r="7" spans="1:10" ht="15" customHeight="1" x14ac:dyDescent="0.35">
      <c r="A7" s="25" t="s">
        <v>70</v>
      </c>
      <c r="B7" s="25">
        <f>COUNT(ASFData!$C:$C)</f>
        <v>13</v>
      </c>
      <c r="C7" s="25">
        <f>SUM(ASFData!$C:$C)</f>
        <v>129507.84957999999</v>
      </c>
      <c r="D7" s="25">
        <f>AVERAGE(ASFData!$C:$C)</f>
        <v>9962.1422753846145</v>
      </c>
      <c r="E7" s="36">
        <f>_xlfn.VAR.S(ASFData!$C:$C)</f>
        <v>68399583.486077502</v>
      </c>
      <c r="F7" s="25"/>
      <c r="G7" s="25"/>
    </row>
    <row r="8" spans="1:10" ht="15" customHeight="1" thickBot="1" x14ac:dyDescent="0.4">
      <c r="A8" s="56" t="s">
        <v>71</v>
      </c>
      <c r="B8" s="56">
        <f>COUNT(ASFData!$D:$D)</f>
        <v>13</v>
      </c>
      <c r="C8" s="56">
        <f>SUM(ASFData!$D:$D)</f>
        <v>144405.48489999998</v>
      </c>
      <c r="D8" s="56">
        <f>AVERAGE(ASFData!$D:$D)</f>
        <v>11108.114223076922</v>
      </c>
      <c r="E8" s="57">
        <f>_xlfn.VAR.S(ASFData!$D:$D)</f>
        <v>168454482.05498639</v>
      </c>
      <c r="F8" s="25"/>
      <c r="G8" s="25"/>
    </row>
    <row r="9" spans="1:10" ht="15" customHeight="1" x14ac:dyDescent="0.35">
      <c r="A9" s="25"/>
      <c r="B9" s="25"/>
      <c r="C9" s="25"/>
      <c r="D9" s="25"/>
      <c r="E9" s="25"/>
      <c r="F9" s="25"/>
      <c r="G9" s="25"/>
    </row>
    <row r="10" spans="1:10" ht="15" customHeight="1" x14ac:dyDescent="0.35">
      <c r="A10" s="25"/>
      <c r="B10" s="25"/>
      <c r="C10" s="25"/>
      <c r="D10" s="25"/>
      <c r="E10" s="25"/>
      <c r="F10" s="25"/>
      <c r="G10" s="25"/>
    </row>
    <row r="11" spans="1:10" ht="15" customHeight="1" thickBot="1" x14ac:dyDescent="0.4">
      <c r="A11" s="25" t="s">
        <v>79</v>
      </c>
      <c r="B11" s="25"/>
      <c r="C11" s="25"/>
      <c r="D11" s="25"/>
      <c r="E11" s="25"/>
      <c r="F11" s="25"/>
      <c r="G11" s="25"/>
    </row>
    <row r="12" spans="1:10" ht="15" customHeight="1" x14ac:dyDescent="0.35">
      <c r="A12" s="55" t="s">
        <v>80</v>
      </c>
      <c r="B12" s="55" t="s">
        <v>81</v>
      </c>
      <c r="C12" s="55" t="s">
        <v>82</v>
      </c>
      <c r="D12" s="55" t="s">
        <v>83</v>
      </c>
      <c r="E12" s="55" t="s">
        <v>84</v>
      </c>
      <c r="F12" s="55" t="s">
        <v>85</v>
      </c>
      <c r="G12" s="55" t="s">
        <v>86</v>
      </c>
    </row>
    <row r="13" spans="1:10" ht="15" customHeight="1" x14ac:dyDescent="0.35">
      <c r="A13" s="25" t="s">
        <v>87</v>
      </c>
      <c r="B13" s="36">
        <f>B16-DEVSQ(ASFData!$A:$A)-DEVSQ(ASFData!$B:$B)-DEVSQ(ASFData!$C:$C)-DEVSQ(ASFData!$D:$D)</f>
        <v>914865268.1680367</v>
      </c>
      <c r="C13" s="25">
        <f>J2-1</f>
        <v>3</v>
      </c>
      <c r="D13" s="36">
        <f>B13/C13</f>
        <v>304955089.38934559</v>
      </c>
      <c r="E13" s="36">
        <f>D13/D14</f>
        <v>1.5689383106420709</v>
      </c>
      <c r="F13" s="36">
        <f>_xlfn.F.DIST.RT(E13,C13,C14)</f>
        <v>0.20826081973217264</v>
      </c>
      <c r="G13" s="36">
        <f>_xlfn.F.INV.RT(G17,C13,C14)</f>
        <v>2.7862288131467707</v>
      </c>
    </row>
    <row r="14" spans="1:10" ht="15" customHeight="1" x14ac:dyDescent="0.35">
      <c r="A14" s="25" t="s">
        <v>88</v>
      </c>
      <c r="B14" s="36">
        <f>B16-B13</f>
        <v>9912887876.7016964</v>
      </c>
      <c r="C14" s="25">
        <f>J3-COUNTA(ASFData!$1:$1)</f>
        <v>51</v>
      </c>
      <c r="D14" s="36">
        <f>B14/C14</f>
        <v>194370350.52356267</v>
      </c>
      <c r="E14" s="25"/>
      <c r="F14" s="25"/>
      <c r="G14" s="25"/>
    </row>
    <row r="15" spans="1:10" ht="15" customHeight="1" x14ac:dyDescent="0.35">
      <c r="A15" s="25"/>
      <c r="B15" s="25"/>
      <c r="C15" s="25"/>
      <c r="D15" s="25"/>
      <c r="E15" s="25"/>
      <c r="F15" s="25"/>
      <c r="G15" s="25"/>
    </row>
    <row r="16" spans="1:10" ht="15" customHeight="1" thickBot="1" x14ac:dyDescent="0.4">
      <c r="A16" s="56" t="s">
        <v>89</v>
      </c>
      <c r="B16" s="57">
        <f>DEVSQ(ASFData!$A$1:$D$16)</f>
        <v>10827753144.869734</v>
      </c>
      <c r="C16" s="56">
        <f>C13+C14</f>
        <v>54</v>
      </c>
      <c r="D16" s="25"/>
      <c r="E16" s="25"/>
      <c r="F16" s="25"/>
      <c r="G16" s="25"/>
    </row>
    <row r="17" spans="1:7" ht="15" customHeight="1" thickBot="1" x14ac:dyDescent="0.4">
      <c r="D17" s="134" t="s">
        <v>90</v>
      </c>
      <c r="E17" s="135"/>
      <c r="F17" s="136"/>
      <c r="G17" s="58">
        <v>0.05</v>
      </c>
    </row>
    <row r="18" spans="1:7" ht="15" customHeight="1" x14ac:dyDescent="0.35"/>
    <row r="19" spans="1:7" ht="15" customHeight="1" x14ac:dyDescent="0.35"/>
    <row r="20" spans="1:7" ht="15" customHeight="1" x14ac:dyDescent="0.35">
      <c r="A20" s="80" t="s">
        <v>140</v>
      </c>
    </row>
    <row r="21" spans="1:7" ht="15" customHeight="1" x14ac:dyDescent="0.35">
      <c r="A21" s="85" t="s">
        <v>153</v>
      </c>
    </row>
    <row r="22" spans="1:7" ht="15" customHeight="1" x14ac:dyDescent="0.35">
      <c r="A22" s="137" t="s">
        <v>155</v>
      </c>
      <c r="B22" s="138"/>
      <c r="C22" s="138"/>
      <c r="D22" s="86"/>
    </row>
    <row r="23" spans="1:7" ht="15" customHeight="1" x14ac:dyDescent="0.35"/>
    <row r="24" spans="1:7" ht="15" customHeight="1" x14ac:dyDescent="0.35">
      <c r="A24" s="83" t="s">
        <v>143</v>
      </c>
    </row>
    <row r="25" spans="1:7" ht="15" customHeight="1" x14ac:dyDescent="0.35">
      <c r="A25" s="120" t="s">
        <v>154</v>
      </c>
      <c r="B25" s="120"/>
      <c r="C25" s="120"/>
      <c r="D25" s="120"/>
      <c r="E25" s="120"/>
      <c r="F25" s="120"/>
      <c r="G25" s="120"/>
    </row>
    <row r="26" spans="1:7" ht="15" customHeight="1" x14ac:dyDescent="0.35">
      <c r="A26" s="120"/>
      <c r="B26" s="120"/>
      <c r="C26" s="120"/>
      <c r="D26" s="120"/>
      <c r="E26" s="120"/>
      <c r="F26" s="120"/>
      <c r="G26" s="120"/>
    </row>
    <row r="27" spans="1:7" ht="15" customHeight="1" x14ac:dyDescent="0.35">
      <c r="A27" s="120"/>
      <c r="B27" s="120"/>
      <c r="C27" s="120"/>
      <c r="D27" s="120"/>
      <c r="E27" s="120"/>
      <c r="F27" s="120"/>
      <c r="G27" s="120"/>
    </row>
    <row r="28" spans="1:7" ht="15" customHeight="1" x14ac:dyDescent="0.35"/>
    <row r="29" spans="1:7" ht="15" customHeight="1" x14ac:dyDescent="0.35"/>
    <row r="30" spans="1:7" ht="15" customHeight="1" x14ac:dyDescent="0.35"/>
    <row r="31" spans="1:7" ht="15" customHeight="1" x14ac:dyDescent="0.35"/>
    <row r="32" spans="1:7" ht="15" customHeight="1" x14ac:dyDescent="0.35"/>
    <row r="33" ht="15" customHeight="1" x14ac:dyDescent="0.35"/>
    <row r="34" ht="15" customHeight="1" x14ac:dyDescent="0.35"/>
    <row r="35" ht="15" customHeight="1" x14ac:dyDescent="0.35"/>
    <row r="36" ht="15" customHeight="1" x14ac:dyDescent="0.35"/>
    <row r="37" ht="15" customHeight="1" x14ac:dyDescent="0.35"/>
    <row r="38" ht="15" customHeight="1" x14ac:dyDescent="0.35"/>
    <row r="39" ht="15" customHeight="1" x14ac:dyDescent="0.35"/>
  </sheetData>
  <mergeCells count="4">
    <mergeCell ref="I1:J1"/>
    <mergeCell ref="D17:F17"/>
    <mergeCell ref="A25:G27"/>
    <mergeCell ref="A22:C22"/>
  </mergeCells>
  <pageMargins left="0.7" right="0.7" top="0.75" bottom="0.75" header="0.3" footer="0.3"/>
  <pageSetup orientation="portrait" horizontalDpi="0" verticalDpi="0"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7BD42-6E37-4CBF-9225-76F5300C5A0E}">
  <dimension ref="A1:I24"/>
  <sheetViews>
    <sheetView topLeftCell="A13" workbookViewId="0">
      <selection activeCell="A23" sqref="A23:F24"/>
    </sheetView>
  </sheetViews>
  <sheetFormatPr defaultRowHeight="14.5" x14ac:dyDescent="0.35"/>
  <cols>
    <col min="1" max="1" width="20.1796875" customWidth="1"/>
    <col min="4" max="4" width="13.1796875" customWidth="1"/>
    <col min="5" max="5" width="16.1796875" bestFit="1" customWidth="1"/>
    <col min="6" max="6" width="9.26953125" bestFit="1" customWidth="1"/>
    <col min="7" max="7" width="11.1796875" bestFit="1" customWidth="1"/>
    <col min="8" max="8" width="6.7265625" bestFit="1" customWidth="1"/>
    <col min="9" max="9" width="7.08984375" bestFit="1" customWidth="1"/>
  </cols>
  <sheetData>
    <row r="1" spans="1:9" x14ac:dyDescent="0.35">
      <c r="A1" s="115" t="s">
        <v>92</v>
      </c>
      <c r="B1" s="115"/>
      <c r="C1" s="115"/>
    </row>
    <row r="3" spans="1:9" x14ac:dyDescent="0.35">
      <c r="A3" s="63"/>
      <c r="B3" s="63" t="s">
        <v>93</v>
      </c>
      <c r="C3" s="63" t="s">
        <v>93</v>
      </c>
      <c r="D3" s="63"/>
      <c r="E3" s="59"/>
      <c r="F3" s="59" t="s">
        <v>94</v>
      </c>
      <c r="G3" s="59" t="s">
        <v>95</v>
      </c>
      <c r="H3" s="59" t="s">
        <v>96</v>
      </c>
    </row>
    <row r="4" spans="1:9" x14ac:dyDescent="0.35">
      <c r="A4" s="63" t="s">
        <v>97</v>
      </c>
      <c r="B4" s="63" t="s">
        <v>14</v>
      </c>
      <c r="C4" s="63" t="s">
        <v>98</v>
      </c>
      <c r="D4" s="63"/>
      <c r="E4" s="63" t="s">
        <v>99</v>
      </c>
      <c r="F4" s="59" t="s">
        <v>100</v>
      </c>
      <c r="G4" s="59" t="s">
        <v>101</v>
      </c>
      <c r="H4" s="59" t="s">
        <v>19</v>
      </c>
      <c r="I4" s="1" t="str">
        <f>IF(B15="","Results are NOT valid until Q Statistic is entered into B15","Results")</f>
        <v>Results</v>
      </c>
    </row>
    <row r="5" spans="1:9" x14ac:dyDescent="0.35">
      <c r="A5" s="1" t="s">
        <v>107</v>
      </c>
      <c r="B5" s="61">
        <f>'T01. Part e. ANOVA'!D5</f>
        <v>20497.363224285713</v>
      </c>
      <c r="C5" s="61">
        <f>'T01. Part e. ANOVA'!B5</f>
        <v>14</v>
      </c>
      <c r="E5" s="1" t="s">
        <v>108</v>
      </c>
      <c r="F5">
        <f>ABS($B$5-$B$6)</f>
        <v>5934.7489442857132</v>
      </c>
      <c r="G5">
        <f>SQRT(($B$14/2)*((1/$C$5)+(1/$C$6)))</f>
        <v>3663.4423589164248</v>
      </c>
      <c r="H5">
        <f>$B$15*$G$5</f>
        <v>13774.543269525757</v>
      </c>
      <c r="I5" s="1" t="str">
        <f>IF($F$5&gt;$H$5,"Means are different","Means are not different")</f>
        <v>Means are not different</v>
      </c>
    </row>
    <row r="6" spans="1:9" x14ac:dyDescent="0.35">
      <c r="A6" s="1" t="s">
        <v>111</v>
      </c>
      <c r="B6" s="61">
        <f>'T01. Part e. ANOVA'!D6</f>
        <v>14562.61428</v>
      </c>
      <c r="C6" s="61">
        <f>'T01. Part e. ANOVA'!B6</f>
        <v>15</v>
      </c>
      <c r="E6" s="1" t="s">
        <v>109</v>
      </c>
      <c r="F6">
        <f>ABS($B$5-$B$7)</f>
        <v>10535.220948901098</v>
      </c>
      <c r="G6">
        <f>SQRT(($B$14/2)*((1/$C$5)+(1/$C$7)))</f>
        <v>3797.048978539663</v>
      </c>
      <c r="H6">
        <f>$B$15*$G$6</f>
        <v>14276.904159309132</v>
      </c>
      <c r="I6" s="1" t="str">
        <f>IF($F$6&gt;$H$6,"Means are different","Means are not different")</f>
        <v>Means are not different</v>
      </c>
    </row>
    <row r="7" spans="1:9" x14ac:dyDescent="0.35">
      <c r="A7" s="1" t="s">
        <v>114</v>
      </c>
      <c r="B7" s="61">
        <f>'T01. Part e. ANOVA'!D7</f>
        <v>9962.1422753846145</v>
      </c>
      <c r="C7" s="61">
        <f>'T01. Part e. ANOVA'!B7</f>
        <v>13</v>
      </c>
      <c r="E7" s="1" t="s">
        <v>110</v>
      </c>
      <c r="F7">
        <f>ABS($B$5-$B$8)</f>
        <v>9389.249001208791</v>
      </c>
      <c r="G7">
        <f>SQRT(($B$14/2)*((1/$C$5)+(1/$C$8)))</f>
        <v>3797.048978539663</v>
      </c>
      <c r="H7">
        <f>$B$15*$G$7</f>
        <v>14276.904159309132</v>
      </c>
      <c r="I7" s="1" t="str">
        <f>IF($F$7&gt;$H$7,"Means are different","Means are not different")</f>
        <v>Means are not different</v>
      </c>
    </row>
    <row r="8" spans="1:9" x14ac:dyDescent="0.35">
      <c r="A8" s="1" t="s">
        <v>116</v>
      </c>
      <c r="B8" s="61">
        <f>'T01. Part e. ANOVA'!D8</f>
        <v>11108.114223076922</v>
      </c>
      <c r="C8" s="61">
        <f>'T01. Part e. ANOVA'!B8</f>
        <v>13</v>
      </c>
      <c r="E8" s="1" t="s">
        <v>112</v>
      </c>
      <c r="F8">
        <f>ABS($B$6-$B$7)</f>
        <v>4600.4720046153852</v>
      </c>
      <c r="G8">
        <f>SQRT(($B$14/2)*((1/$C$6)+(1/$C$7)))</f>
        <v>3735.6116495914657</v>
      </c>
      <c r="H8">
        <f>$B$15*$G$8</f>
        <v>14045.89980246391</v>
      </c>
      <c r="I8" s="1" t="str">
        <f>IF($F$8&gt;$H$8,"Means are different","Means are not different")</f>
        <v>Means are not different</v>
      </c>
    </row>
    <row r="9" spans="1:9" x14ac:dyDescent="0.35">
      <c r="E9" s="1" t="s">
        <v>113</v>
      </c>
      <c r="F9">
        <f>ABS($B$6-$B$8)</f>
        <v>3454.5000569230779</v>
      </c>
      <c r="G9">
        <f>SQRT(($B$14/2)*((1/$C$6)+(1/$C$8)))</f>
        <v>3735.6116495914657</v>
      </c>
      <c r="H9">
        <f>$B$15*$G$9</f>
        <v>14045.89980246391</v>
      </c>
      <c r="I9" s="1" t="str">
        <f>IF($F$9&gt;$H$9,"Means are different","Means are not different")</f>
        <v>Means are not different</v>
      </c>
    </row>
    <row r="10" spans="1:9" x14ac:dyDescent="0.35">
      <c r="A10" s="117" t="s">
        <v>102</v>
      </c>
      <c r="B10" s="117"/>
      <c r="E10" s="1" t="s">
        <v>115</v>
      </c>
      <c r="F10">
        <f>ABS($B$7-$B$8)</f>
        <v>1145.9719476923074</v>
      </c>
      <c r="G10">
        <f>SQRT(($B$14/2)*((1/$C$7)+(1/$C$8)))</f>
        <v>3866.7254136917245</v>
      </c>
      <c r="H10">
        <f>$B$15*$G$10</f>
        <v>14538.887555480884</v>
      </c>
      <c r="I10" s="1" t="str">
        <f>IF($F$10&gt;$H$10,"Means are different","Means are not different")</f>
        <v>Means are not different</v>
      </c>
    </row>
    <row r="11" spans="1:9" x14ac:dyDescent="0.35">
      <c r="A11" s="61" t="s">
        <v>90</v>
      </c>
      <c r="B11" s="61">
        <f>'T01. Part e. ANOVA'!G17</f>
        <v>0.05</v>
      </c>
    </row>
    <row r="12" spans="1:9" x14ac:dyDescent="0.35">
      <c r="A12" s="61" t="s">
        <v>103</v>
      </c>
      <c r="B12" s="61">
        <v>4</v>
      </c>
    </row>
    <row r="13" spans="1:9" x14ac:dyDescent="0.35">
      <c r="A13" s="61" t="s">
        <v>104</v>
      </c>
      <c r="B13" s="61">
        <f>'T01. Part e. ANOVA'!C14</f>
        <v>51</v>
      </c>
    </row>
    <row r="14" spans="1:9" x14ac:dyDescent="0.35">
      <c r="A14" s="61" t="s">
        <v>105</v>
      </c>
      <c r="B14" s="61">
        <f>'T01. Part e. ANOVA'!D14</f>
        <v>194370350.52356267</v>
      </c>
    </row>
    <row r="15" spans="1:9" x14ac:dyDescent="0.35">
      <c r="A15" s="62" t="s">
        <v>106</v>
      </c>
      <c r="B15" s="62">
        <v>3.76</v>
      </c>
    </row>
    <row r="18" spans="1:6" x14ac:dyDescent="0.35">
      <c r="A18" s="80" t="s">
        <v>140</v>
      </c>
    </row>
    <row r="19" spans="1:6" x14ac:dyDescent="0.35">
      <c r="A19" s="85" t="s">
        <v>153</v>
      </c>
      <c r="B19" s="20"/>
      <c r="C19" s="20"/>
      <c r="D19" s="20"/>
    </row>
    <row r="20" spans="1:6" x14ac:dyDescent="0.35">
      <c r="A20" s="139" t="s">
        <v>155</v>
      </c>
      <c r="B20" s="139"/>
      <c r="C20" s="139"/>
      <c r="D20" s="139"/>
    </row>
    <row r="22" spans="1:6" x14ac:dyDescent="0.35">
      <c r="A22" s="80" t="s">
        <v>143</v>
      </c>
    </row>
    <row r="23" spans="1:6" x14ac:dyDescent="0.35">
      <c r="A23" s="120" t="s">
        <v>156</v>
      </c>
      <c r="B23" s="120"/>
      <c r="C23" s="120"/>
      <c r="D23" s="120"/>
      <c r="E23" s="120"/>
      <c r="F23" s="120"/>
    </row>
    <row r="24" spans="1:6" x14ac:dyDescent="0.35">
      <c r="A24" s="120"/>
      <c r="B24" s="120"/>
      <c r="C24" s="120"/>
      <c r="D24" s="120"/>
      <c r="E24" s="120"/>
      <c r="F24" s="120"/>
    </row>
  </sheetData>
  <mergeCells count="4">
    <mergeCell ref="A10:B10"/>
    <mergeCell ref="A1:C1"/>
    <mergeCell ref="A20:D20"/>
    <mergeCell ref="A23:F2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54F69-B88E-4A73-BF4B-DA68D53BD33F}">
  <dimension ref="A1:D16"/>
  <sheetViews>
    <sheetView tabSelected="1" workbookViewId="0">
      <selection activeCell="I14" sqref="I14"/>
    </sheetView>
  </sheetViews>
  <sheetFormatPr defaultRowHeight="14.5" x14ac:dyDescent="0.35"/>
  <sheetData>
    <row r="1" spans="1:4" x14ac:dyDescent="0.35">
      <c r="A1" t="s">
        <v>68</v>
      </c>
      <c r="B1" t="s">
        <v>69</v>
      </c>
      <c r="C1" t="s">
        <v>70</v>
      </c>
      <c r="D1" t="s">
        <v>71</v>
      </c>
    </row>
    <row r="2" spans="1:4" x14ac:dyDescent="0.35">
      <c r="A2">
        <v>16884.919999999998</v>
      </c>
      <c r="B2">
        <v>1725.5523000000001</v>
      </c>
      <c r="C2">
        <v>21984.47061</v>
      </c>
      <c r="D2">
        <v>6406.4107000000004</v>
      </c>
    </row>
    <row r="3" spans="1:4" x14ac:dyDescent="0.35">
      <c r="A3">
        <v>1826.8430000000001</v>
      </c>
      <c r="B3">
        <v>4449.4620000000004</v>
      </c>
      <c r="C3">
        <v>3866.8552</v>
      </c>
      <c r="D3">
        <v>2721.3208</v>
      </c>
    </row>
    <row r="4" spans="1:4" x14ac:dyDescent="0.35">
      <c r="A4">
        <v>1837.2370000000001</v>
      </c>
      <c r="B4">
        <v>3756.6215999999999</v>
      </c>
      <c r="C4">
        <v>7281.5056000000004</v>
      </c>
      <c r="D4">
        <v>10797.3362</v>
      </c>
    </row>
    <row r="5" spans="1:4" x14ac:dyDescent="0.35">
      <c r="A5">
        <v>10602.385</v>
      </c>
      <c r="B5">
        <v>8240.5895999999993</v>
      </c>
      <c r="C5">
        <v>28923.136920000001</v>
      </c>
      <c r="D5">
        <v>2395.17155</v>
      </c>
    </row>
    <row r="6" spans="1:4" x14ac:dyDescent="0.35">
      <c r="A6">
        <v>36837.466999999997</v>
      </c>
      <c r="B6">
        <v>27808.7251</v>
      </c>
      <c r="C6">
        <v>6203.90175</v>
      </c>
      <c r="D6">
        <v>13228.846949999999</v>
      </c>
    </row>
    <row r="7" spans="1:4" x14ac:dyDescent="0.35">
      <c r="A7">
        <v>4149.7359999999999</v>
      </c>
      <c r="B7">
        <v>11090.7178</v>
      </c>
      <c r="C7">
        <v>12268.632250000001</v>
      </c>
      <c r="D7">
        <v>37701.876799999998</v>
      </c>
    </row>
    <row r="8" spans="1:4" x14ac:dyDescent="0.35">
      <c r="A8">
        <v>38711</v>
      </c>
      <c r="B8">
        <v>39611.757700000002</v>
      </c>
      <c r="C8">
        <v>2775.1921499999999</v>
      </c>
      <c r="D8">
        <v>14451.835150000001</v>
      </c>
    </row>
    <row r="9" spans="1:4" x14ac:dyDescent="0.35">
      <c r="A9">
        <v>35585.576000000001</v>
      </c>
      <c r="B9">
        <v>1137.011</v>
      </c>
      <c r="C9">
        <v>13770.097900000001</v>
      </c>
      <c r="D9">
        <v>2198.1898500000002</v>
      </c>
    </row>
    <row r="10" spans="1:4" x14ac:dyDescent="0.35">
      <c r="A10">
        <v>4687.7969999999996</v>
      </c>
      <c r="B10">
        <v>14001.1338</v>
      </c>
      <c r="C10">
        <v>1625.4337499999999</v>
      </c>
      <c r="D10">
        <v>39774.276299999998</v>
      </c>
    </row>
    <row r="11" spans="1:4" x14ac:dyDescent="0.35">
      <c r="A11">
        <v>51194.559139999998</v>
      </c>
      <c r="B11">
        <v>4949.7587000000003</v>
      </c>
      <c r="C11">
        <v>15612.19335</v>
      </c>
      <c r="D11">
        <v>3046.0619999999999</v>
      </c>
    </row>
    <row r="12" spans="1:4" x14ac:dyDescent="0.35">
      <c r="A12">
        <v>2302.3000000000002</v>
      </c>
      <c r="B12">
        <v>6272.4772000000003</v>
      </c>
      <c r="C12">
        <v>3556.9223000000002</v>
      </c>
      <c r="D12">
        <v>6079.6715000000004</v>
      </c>
    </row>
    <row r="13" spans="1:4" x14ac:dyDescent="0.35">
      <c r="A13">
        <v>48173.360999999997</v>
      </c>
      <c r="B13">
        <v>6313.759</v>
      </c>
      <c r="C13">
        <v>3579.8287</v>
      </c>
      <c r="D13">
        <v>3393.35635</v>
      </c>
    </row>
    <row r="14" spans="1:4" x14ac:dyDescent="0.35">
      <c r="A14">
        <v>10601.632</v>
      </c>
      <c r="B14">
        <v>12629.896699999999</v>
      </c>
      <c r="C14">
        <v>8059.6791000000003</v>
      </c>
      <c r="D14">
        <v>2211.1307499999998</v>
      </c>
    </row>
    <row r="15" spans="1:4" x14ac:dyDescent="0.35">
      <c r="A15">
        <v>23568.272000000001</v>
      </c>
      <c r="B15">
        <v>38709.175999999999</v>
      </c>
    </row>
    <row r="16" spans="1:4" x14ac:dyDescent="0.35">
      <c r="B16">
        <v>37742.575700000001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F64817237860549861CBCA8D76F39D3" ma:contentTypeVersion="4" ma:contentTypeDescription="Create a new document." ma:contentTypeScope="" ma:versionID="a52039965fd24f55e9e3163d08058768">
  <xsd:schema xmlns:xsd="http://www.w3.org/2001/XMLSchema" xmlns:xs="http://www.w3.org/2001/XMLSchema" xmlns:p="http://schemas.microsoft.com/office/2006/metadata/properties" xmlns:ns3="e9c33792-c9dc-4c3a-897e-a5ba6f5ada6d" targetNamespace="http://schemas.microsoft.com/office/2006/metadata/properties" ma:root="true" ma:fieldsID="de10d6a341a818f735143f42d4d37cf5" ns3:_="">
    <xsd:import namespace="e9c33792-c9dc-4c3a-897e-a5ba6f5ada6d"/>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c33792-c9dc-4c3a-897e-a5ba6f5ada6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BCA6BED-0753-4DC3-AE24-EA98790D8E63}">
  <ds:schemaRefs>
    <ds:schemaRef ds:uri="http://schemas.microsoft.com/sharepoint/v3/contenttype/forms"/>
  </ds:schemaRefs>
</ds:datastoreItem>
</file>

<file path=customXml/itemProps2.xml><?xml version="1.0" encoding="utf-8"?>
<ds:datastoreItem xmlns:ds="http://schemas.openxmlformats.org/officeDocument/2006/customXml" ds:itemID="{2D9163B1-4D27-48D5-901B-0E4A747E4016}">
  <ds:schemaRefs>
    <ds:schemaRef ds:uri="http://schemas.microsoft.com/office/2006/documentManagement/types"/>
    <ds:schemaRef ds:uri="e9c33792-c9dc-4c3a-897e-a5ba6f5ada6d"/>
    <ds:schemaRef ds:uri="http://purl.org/dc/elements/1.1/"/>
    <ds:schemaRef ds:uri="http://schemas.microsoft.com/office/infopath/2007/PartnerControls"/>
    <ds:schemaRef ds:uri="http://schemas.microsoft.com/office/2006/metadata/properties"/>
    <ds:schemaRef ds:uri="http://schemas.openxmlformats.org/package/2006/metadata/core-properties"/>
    <ds:schemaRef ds:uri="http://www.w3.org/XML/1998/namespace"/>
    <ds:schemaRef ds:uri="http://purl.org/dc/dcmitype/"/>
    <ds:schemaRef ds:uri="http://purl.org/dc/terms/"/>
  </ds:schemaRefs>
</ds:datastoreItem>
</file>

<file path=customXml/itemProps3.xml><?xml version="1.0" encoding="utf-8"?>
<ds:datastoreItem xmlns:ds="http://schemas.openxmlformats.org/officeDocument/2006/customXml" ds:itemID="{A37C2484-29B6-4487-8BCC-DC0A646EA3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c33792-c9dc-4c3a-897e-a5ba6f5ada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Problem Statement</vt:lpstr>
      <vt:lpstr>Task 01 Data</vt:lpstr>
      <vt:lpstr>T01. Part a. DS</vt:lpstr>
      <vt:lpstr>T01. Part b. CI</vt:lpstr>
      <vt:lpstr>T01. Part c. t-test</vt:lpstr>
      <vt:lpstr>T01. Part c. F-test</vt:lpstr>
      <vt:lpstr>T01. Part d Z-test</vt:lpstr>
      <vt:lpstr>T01. Part e. ANOVA</vt:lpstr>
      <vt:lpstr>T01. Part f. TukeyKramer</vt:lpstr>
      <vt:lpstr>ASFData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Haider</dc:creator>
  <cp:lastModifiedBy>Ali Haider Azhar</cp:lastModifiedBy>
  <dcterms:created xsi:type="dcterms:W3CDTF">2026-05-04T07:17:59Z</dcterms:created>
  <dcterms:modified xsi:type="dcterms:W3CDTF">2026-05-10T06:42:01Z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0x0101004F64817237860549861CBCA8D76F39D3</vt:lpwstr>
  </property>
</Properties>
</file>